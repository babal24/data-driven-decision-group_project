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https://qubstudentcloud-my.sharepoint.com/personal/3055270_ads_qub_ac_uk/Documents/1 - Lectures/DDDM - MGT7180/___ Lectures and SLIDES/2020-2021/assignment-2/"/>
    </mc:Choice>
  </mc:AlternateContent>
  <bookViews>
    <workbookView xWindow="120" yWindow="150" windowWidth="20370" windowHeight="11760"/>
  </bookViews>
  <sheets>
    <sheet name="Case Data" sheetId="6" r:id="rId1"/>
  </sheets>
  <calcPr calcId="162913"/>
</workbook>
</file>

<file path=xl/calcChain.xml><?xml version="1.0" encoding="utf-8"?>
<calcChain xmlns="http://schemas.openxmlformats.org/spreadsheetml/2006/main">
  <c r="K2" i="6" l="1"/>
  <c r="M2" i="6" s="1"/>
  <c r="N2" i="6" s="1"/>
  <c r="I2" i="6"/>
  <c r="J2" i="6" s="1"/>
  <c r="L2" i="6" l="1"/>
  <c r="O2" i="6"/>
  <c r="P2" i="6" s="1"/>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A52" i="6" s="1"/>
  <c r="A53" i="6" s="1"/>
</calcChain>
</file>

<file path=xl/comments1.xml><?xml version="1.0" encoding="utf-8"?>
<comments xmlns="http://schemas.openxmlformats.org/spreadsheetml/2006/main">
  <authors>
    <author>Faersheed Hesaraki</author>
  </authors>
  <commentList>
    <comment ref="C2" authorId="0" shapeId="0">
      <text>
        <r>
          <rPr>
            <b/>
            <sz val="9"/>
            <color indexed="81"/>
            <rFont val="Tahoma"/>
            <family val="2"/>
          </rPr>
          <t>Faersheed Hesaraki:</t>
        </r>
        <r>
          <rPr>
            <sz val="9"/>
            <color indexed="81"/>
            <rFont val="Tahoma"/>
            <family val="2"/>
          </rPr>
          <t xml:space="preserve">
external arrivals to the first phase of the outpatient clinic </t>
        </r>
      </text>
    </comment>
    <comment ref="D2" authorId="0" shapeId="0">
      <text>
        <r>
          <rPr>
            <b/>
            <sz val="9"/>
            <color indexed="81"/>
            <rFont val="Tahoma"/>
            <family val="2"/>
          </rPr>
          <t>Faersheed Hesaraki:</t>
        </r>
        <r>
          <rPr>
            <sz val="9"/>
            <color indexed="81"/>
            <rFont val="Tahoma"/>
            <family val="2"/>
          </rPr>
          <t xml:space="preserve">
based on appointments from last year</t>
        </r>
      </text>
    </comment>
    <comment ref="E2" authorId="0" shapeId="0">
      <text>
        <r>
          <rPr>
            <b/>
            <sz val="9"/>
            <color indexed="81"/>
            <rFont val="Tahoma"/>
            <family val="2"/>
          </rPr>
          <t>Faersheed Hesaraki:</t>
        </r>
        <r>
          <rPr>
            <sz val="9"/>
            <color indexed="81"/>
            <rFont val="Tahoma"/>
            <family val="2"/>
          </rPr>
          <t xml:space="preserve">
based on appointments from last year</t>
        </r>
      </text>
    </comment>
    <comment ref="F2" authorId="0" shapeId="0">
      <text>
        <r>
          <rPr>
            <b/>
            <sz val="9"/>
            <color indexed="81"/>
            <rFont val="Tahoma"/>
            <family val="2"/>
          </rPr>
          <t>Faersheed Hesaraki:</t>
        </r>
        <r>
          <rPr>
            <sz val="9"/>
            <color indexed="81"/>
            <rFont val="Tahoma"/>
            <family val="2"/>
          </rPr>
          <t xml:space="preserve">
total number of sessions available this week </t>
        </r>
      </text>
    </comment>
    <comment ref="G2" authorId="0" shapeId="0">
      <text>
        <r>
          <rPr>
            <b/>
            <sz val="9"/>
            <color indexed="81"/>
            <rFont val="Tahoma"/>
            <family val="2"/>
          </rPr>
          <t>Faersheed Hesaraki:</t>
        </r>
        <r>
          <rPr>
            <sz val="9"/>
            <color indexed="81"/>
            <rFont val="Tahoma"/>
            <family val="2"/>
          </rPr>
          <t xml:space="preserve">
as an example 
You should come up with a solution rule to fill these two red columns while splitting the capacity between them and minimizing the cost. Here, the capacity of 18 sessions is split into 11 outpatient and 7 operation sessions.
Note: The sum of these two columns (number of sessions) cannot exceed the capacity. But if your solution needs fewer sessions than the available capacity, the sum of the two number of sessions can be less than the available capacity.</t>
        </r>
      </text>
    </comment>
    <comment ref="H2" authorId="0" shapeId="0">
      <text>
        <r>
          <rPr>
            <b/>
            <sz val="9"/>
            <color indexed="81"/>
            <rFont val="Tahoma"/>
            <family val="2"/>
          </rPr>
          <t>Faersheed Hesaraki:</t>
        </r>
        <r>
          <rPr>
            <sz val="9"/>
            <color indexed="81"/>
            <rFont val="Tahoma"/>
            <family val="2"/>
          </rPr>
          <t xml:space="preserve">
as an example</t>
        </r>
      </text>
    </comment>
    <comment ref="S4" authorId="0" shapeId="0">
      <text>
        <r>
          <rPr>
            <b/>
            <sz val="9"/>
            <color indexed="81"/>
            <rFont val="Tahoma"/>
            <family val="2"/>
          </rPr>
          <t>Faersheed Hesaraki:</t>
        </r>
        <r>
          <rPr>
            <sz val="9"/>
            <color indexed="81"/>
            <rFont val="Tahoma"/>
            <family val="2"/>
          </rPr>
          <t xml:space="preserve">
the </t>
        </r>
        <r>
          <rPr>
            <b/>
            <u/>
            <sz val="9"/>
            <color indexed="81"/>
            <rFont val="Tahoma"/>
            <family val="2"/>
          </rPr>
          <t>fraction</t>
        </r>
        <r>
          <rPr>
            <sz val="9"/>
            <color indexed="81"/>
            <rFont val="Tahoma"/>
            <family val="2"/>
          </rPr>
          <t xml:space="preserve"> of patients who move from the outpatient clinic P to the operation room after 1 week</t>
        </r>
      </text>
    </comment>
    <comment ref="Z4" authorId="0" shapeId="0">
      <text>
        <r>
          <rPr>
            <b/>
            <sz val="9"/>
            <color indexed="81"/>
            <rFont val="Tahoma"/>
            <family val="2"/>
          </rPr>
          <t>Faersheed Hesaraki:</t>
        </r>
        <r>
          <rPr>
            <sz val="9"/>
            <color indexed="81"/>
            <rFont val="Tahoma"/>
            <family val="2"/>
          </rPr>
          <t xml:space="preserve">
average number of patients treated in an outpatient clinic session</t>
        </r>
      </text>
    </comment>
  </commentList>
</comments>
</file>

<file path=xl/sharedStrings.xml><?xml version="1.0" encoding="utf-8"?>
<sst xmlns="http://schemas.openxmlformats.org/spreadsheetml/2006/main" count="25" uniqueCount="25">
  <si>
    <t>P1</t>
  </si>
  <si>
    <t>P2</t>
  </si>
  <si>
    <t>week</t>
  </si>
  <si>
    <t>O</t>
  </si>
  <si>
    <t>o.s.</t>
  </si>
  <si>
    <t>p.s.</t>
  </si>
  <si>
    <t>lead time</t>
  </si>
  <si>
    <t>capacity</t>
  </si>
  <si>
    <t>P1,O</t>
  </si>
  <si>
    <t>P1,P2</t>
  </si>
  <si>
    <t>P-sessions</t>
  </si>
  <si>
    <t>O-sessions</t>
  </si>
  <si>
    <t>treated P1</t>
  </si>
  <si>
    <t>delayed P1</t>
  </si>
  <si>
    <t>treated P2</t>
  </si>
  <si>
    <t>delayed P2</t>
  </si>
  <si>
    <t>treated O</t>
  </si>
  <si>
    <t>delayed O</t>
  </si>
  <si>
    <t>treated P3</t>
  </si>
  <si>
    <t>delayed P3</t>
  </si>
  <si>
    <t>P3P3</t>
  </si>
  <si>
    <t>P2,P3</t>
  </si>
  <si>
    <t>P2,O</t>
  </si>
  <si>
    <t>O,P2</t>
  </si>
  <si>
    <t>P3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</si>
</sst>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9" formatCode="0.0"/>
  </numFmts>
  <fonts count="8" x14ac:knownFonts="1">
    <font>
      <sz val="11"/>
      <color theme="1"/>
      <name val="Calibri"/>
      <family val="2"/>
      <scheme val="minor"/>
    </font>
    <font>
      <sz val="9"/>
      <color indexed="81"/>
      <name val="Tahoma"/>
      <family val="2"/>
    </font>
    <font>
      <b/>
      <sz val="9"/>
      <color indexed="81"/>
      <name val="Tahoma"/>
      <family val="2"/>
    </font>
    <font>
      <sz val="11"/>
      <color theme="1"/>
      <name val="Cambria"/>
      <family val="1"/>
      <scheme val="major"/>
    </font>
    <font>
      <b/>
      <sz val="11"/>
      <color theme="1"/>
      <name val="Calibri"/>
      <family val="2"/>
      <scheme val="minor"/>
    </font>
    <font>
      <b/>
      <sz val="11"/>
      <color rgb="FFC00000"/>
      <name val="Calibri"/>
      <family val="2"/>
      <scheme val="minor"/>
    </font>
    <font>
      <b/>
      <u/>
      <sz val="9"/>
      <color indexed="81"/>
      <name val="Tahoma"/>
      <family val="2"/>
    </font>
    <font>
      <b/>
      <sz val="11"/>
      <color rgb="FF0000FF"/>
      <name val="Calibri"/>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theme="5" tint="0.79998168889431442"/>
        <bgColor indexed="64"/>
      </patternFill>
    </fill>
  </fills>
  <borders count="7">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20">
    <xf numFmtId="0" fontId="0" fillId="0" borderId="0" xfId="0"/>
    <xf numFmtId="0" fontId="3" fillId="0" borderId="0" xfId="0" applyFont="1"/>
    <xf numFmtId="0" fontId="4" fillId="2" borderId="0" xfId="0" applyFont="1" applyFill="1" applyAlignment="1">
      <alignment horizontal="right"/>
    </xf>
    <xf numFmtId="0" fontId="4" fillId="2" borderId="0" xfId="0" applyFont="1" applyFill="1" applyAlignment="1">
      <alignment horizontal="center"/>
    </xf>
    <xf numFmtId="0" fontId="0" fillId="0" borderId="0" xfId="0" applyAlignment="1">
      <alignment horizontal="right" indent="4"/>
    </xf>
    <xf numFmtId="0" fontId="4" fillId="2" borderId="0" xfId="0" applyFont="1" applyFill="1" applyAlignment="1">
      <alignment horizontal="right" indent="4"/>
    </xf>
    <xf numFmtId="0" fontId="4" fillId="2" borderId="0" xfId="0" applyFont="1" applyFill="1" applyAlignment="1">
      <alignment horizontal="left"/>
    </xf>
    <xf numFmtId="0" fontId="5" fillId="2" borderId="1" xfId="0" applyFont="1" applyFill="1" applyBorder="1" applyAlignment="1">
      <alignment horizontal="center"/>
    </xf>
    <xf numFmtId="0" fontId="5" fillId="2" borderId="2" xfId="0" applyFont="1" applyFill="1" applyBorder="1" applyAlignment="1">
      <alignment horizontal="center"/>
    </xf>
    <xf numFmtId="0" fontId="0" fillId="3" borderId="3" xfId="0" applyFill="1" applyBorder="1" applyAlignment="1">
      <alignment horizontal="right" indent="4"/>
    </xf>
    <xf numFmtId="0" fontId="0" fillId="3" borderId="4" xfId="0" applyFill="1" applyBorder="1" applyAlignment="1">
      <alignment horizontal="right" indent="4"/>
    </xf>
    <xf numFmtId="0" fontId="0" fillId="3" borderId="5" xfId="0" applyFill="1" applyBorder="1" applyAlignment="1">
      <alignment horizontal="right" indent="4"/>
    </xf>
    <xf numFmtId="0" fontId="0" fillId="3" borderId="6" xfId="0" applyFill="1" applyBorder="1" applyAlignment="1">
      <alignment horizontal="right" indent="4"/>
    </xf>
    <xf numFmtId="0" fontId="7" fillId="0" borderId="0" xfId="0" applyFont="1" applyAlignment="1">
      <alignment horizontal="right" indent="4"/>
    </xf>
    <xf numFmtId="0" fontId="7" fillId="0" borderId="0" xfId="0" applyFont="1"/>
    <xf numFmtId="2" fontId="7" fillId="0" borderId="0" xfId="0" applyNumberFormat="1" applyFont="1"/>
    <xf numFmtId="0" fontId="4" fillId="2" borderId="0" xfId="0" applyFont="1" applyFill="1" applyBorder="1" applyAlignment="1">
      <alignment horizontal="center"/>
    </xf>
    <xf numFmtId="0" fontId="4" fillId="2" borderId="0" xfId="0" applyFont="1" applyFill="1"/>
    <xf numFmtId="169" fontId="0" fillId="0" borderId="0" xfId="0" applyNumberFormat="1" applyAlignment="1">
      <alignment horizontal="right" indent="4"/>
    </xf>
    <xf numFmtId="0" fontId="0" fillId="0" borderId="0" xfId="0" applyAlignment="1">
      <alignment horizontal="left" vertical="center" indent="4"/>
    </xf>
  </cellXfs>
  <cellStyles count="1">
    <cellStyle name="Normal" xfId="0" builtinId="0"/>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Z55"/>
  <sheetViews>
    <sheetView tabSelected="1" workbookViewId="0">
      <selection activeCell="A54" sqref="A54:XFD64"/>
    </sheetView>
  </sheetViews>
  <sheetFormatPr defaultRowHeight="14.6" x14ac:dyDescent="0.85"/>
  <cols>
    <col min="1" max="1" width="9.3828125" style="4" customWidth="1"/>
    <col min="2" max="3" width="11.65234375" style="4" customWidth="1"/>
    <col min="4" max="5" width="9.73046875" style="4" customWidth="1"/>
    <col min="6" max="6" width="9.8828125" style="4" customWidth="1"/>
    <col min="7" max="8" width="8.53515625" style="4" customWidth="1"/>
    <col min="9" max="16" width="10.8046875" style="4" customWidth="1"/>
  </cols>
  <sheetData>
    <row r="1" spans="1:26" x14ac:dyDescent="0.85">
      <c r="A1" s="6" t="s">
        <v>2</v>
      </c>
      <c r="B1" s="5" t="s">
        <v>3</v>
      </c>
      <c r="C1" s="5" t="s">
        <v>0</v>
      </c>
      <c r="D1" s="5" t="s">
        <v>1</v>
      </c>
      <c r="E1" s="5" t="s">
        <v>24</v>
      </c>
      <c r="F1" s="3" t="s">
        <v>7</v>
      </c>
      <c r="G1" s="7" t="s">
        <v>5</v>
      </c>
      <c r="H1" s="8" t="s">
        <v>4</v>
      </c>
      <c r="I1" s="16" t="s">
        <v>16</v>
      </c>
      <c r="J1" s="16" t="s">
        <v>17</v>
      </c>
      <c r="K1" s="16" t="s">
        <v>12</v>
      </c>
      <c r="L1" s="16" t="s">
        <v>13</v>
      </c>
      <c r="M1" s="16" t="s">
        <v>14</v>
      </c>
      <c r="N1" s="16" t="s">
        <v>15</v>
      </c>
      <c r="O1" s="16" t="s">
        <v>18</v>
      </c>
      <c r="P1" s="16" t="s">
        <v>19</v>
      </c>
    </row>
    <row r="2" spans="1:26" x14ac:dyDescent="0.85">
      <c r="A2" s="5">
        <v>1</v>
      </c>
      <c r="B2" s="13">
        <v>23</v>
      </c>
      <c r="C2" s="13">
        <v>30</v>
      </c>
      <c r="D2" s="13">
        <v>19</v>
      </c>
      <c r="E2" s="13">
        <v>11</v>
      </c>
      <c r="F2" s="13">
        <v>18</v>
      </c>
      <c r="G2" s="9">
        <v>11</v>
      </c>
      <c r="H2" s="10">
        <v>7</v>
      </c>
      <c r="I2">
        <f>MIN(B2,Z6*H2)</f>
        <v>21</v>
      </c>
      <c r="J2">
        <f>B2-I2</f>
        <v>2</v>
      </c>
      <c r="K2">
        <f>MIN(C2,Z4*G2)</f>
        <v>30</v>
      </c>
      <c r="L2">
        <f>C2-K2</f>
        <v>0</v>
      </c>
      <c r="M2">
        <f>MIN(D2,G2*Z4-K2)</f>
        <v>19</v>
      </c>
      <c r="N2">
        <f>D2-M2</f>
        <v>0</v>
      </c>
      <c r="O2">
        <f>MIN(E2,G2*Z4-K2-M2)</f>
        <v>11</v>
      </c>
      <c r="P2">
        <f>E2-O2</f>
        <v>0</v>
      </c>
    </row>
    <row r="3" spans="1:26" x14ac:dyDescent="0.85">
      <c r="A3" s="5">
        <f>A2+1</f>
        <v>2</v>
      </c>
      <c r="B3" s="13">
        <v>22</v>
      </c>
      <c r="C3" s="13">
        <v>60</v>
      </c>
      <c r="D3" s="13">
        <v>25</v>
      </c>
      <c r="E3" s="13">
        <v>17</v>
      </c>
      <c r="F3" s="13">
        <v>18</v>
      </c>
      <c r="G3" s="9"/>
      <c r="H3" s="10"/>
      <c r="I3"/>
      <c r="J3"/>
      <c r="K3"/>
      <c r="L3"/>
      <c r="M3"/>
      <c r="N3"/>
      <c r="O3"/>
      <c r="P3"/>
      <c r="R3" s="2" t="s">
        <v>6</v>
      </c>
      <c r="S3" s="2" t="s">
        <v>8</v>
      </c>
      <c r="T3" s="2" t="s">
        <v>9</v>
      </c>
      <c r="U3" s="2" t="s">
        <v>23</v>
      </c>
      <c r="V3" s="2" t="s">
        <v>22</v>
      </c>
      <c r="W3" s="2" t="s">
        <v>21</v>
      </c>
      <c r="X3" s="2" t="s">
        <v>20</v>
      </c>
      <c r="Z3" t="s">
        <v>10</v>
      </c>
    </row>
    <row r="4" spans="1:26" x14ac:dyDescent="0.85">
      <c r="A4" s="5">
        <f t="shared" ref="A4:A52" si="0">A3+1</f>
        <v>3</v>
      </c>
      <c r="B4" s="13">
        <v>28</v>
      </c>
      <c r="C4" s="13">
        <v>53</v>
      </c>
      <c r="D4" s="13">
        <v>15</v>
      </c>
      <c r="E4" s="13">
        <v>8</v>
      </c>
      <c r="F4" s="13">
        <v>30</v>
      </c>
      <c r="G4" s="9"/>
      <c r="H4" s="10"/>
      <c r="I4"/>
      <c r="J4"/>
      <c r="K4"/>
      <c r="L4"/>
      <c r="M4"/>
      <c r="N4"/>
      <c r="O4"/>
      <c r="P4"/>
      <c r="R4" s="17">
        <v>1</v>
      </c>
      <c r="S4" s="15">
        <v>0.05</v>
      </c>
      <c r="T4" s="15">
        <v>0</v>
      </c>
      <c r="U4" s="15">
        <v>0.1</v>
      </c>
      <c r="V4" s="15">
        <v>0</v>
      </c>
      <c r="W4" s="15">
        <v>0</v>
      </c>
      <c r="X4" s="15">
        <v>0</v>
      </c>
      <c r="Z4" s="14">
        <v>16</v>
      </c>
    </row>
    <row r="5" spans="1:26" x14ac:dyDescent="0.85">
      <c r="A5" s="5">
        <f t="shared" si="0"/>
        <v>4</v>
      </c>
      <c r="B5" s="13">
        <v>24</v>
      </c>
      <c r="C5" s="13">
        <v>44</v>
      </c>
      <c r="D5" s="13">
        <v>10</v>
      </c>
      <c r="E5" s="13">
        <v>14</v>
      </c>
      <c r="F5" s="13">
        <v>30</v>
      </c>
      <c r="G5" s="9"/>
      <c r="H5" s="10"/>
      <c r="I5"/>
      <c r="J5"/>
      <c r="K5"/>
      <c r="L5"/>
      <c r="M5"/>
      <c r="N5"/>
      <c r="O5"/>
      <c r="P5"/>
      <c r="R5" s="17">
        <v>2</v>
      </c>
      <c r="S5" s="15">
        <v>0.1</v>
      </c>
      <c r="T5" s="15">
        <v>0.1</v>
      </c>
      <c r="U5" s="15">
        <v>0.2</v>
      </c>
      <c r="V5" s="15">
        <v>0.1</v>
      </c>
      <c r="W5" s="15">
        <v>0</v>
      </c>
      <c r="X5" s="15">
        <v>0</v>
      </c>
      <c r="Z5" t="s">
        <v>11</v>
      </c>
    </row>
    <row r="6" spans="1:26" x14ac:dyDescent="0.85">
      <c r="A6" s="5">
        <f t="shared" si="0"/>
        <v>5</v>
      </c>
      <c r="B6" s="13">
        <v>28</v>
      </c>
      <c r="C6" s="13">
        <v>59</v>
      </c>
      <c r="D6" s="13">
        <v>9</v>
      </c>
      <c r="E6" s="13">
        <v>9</v>
      </c>
      <c r="F6" s="13">
        <v>24</v>
      </c>
      <c r="G6" s="9"/>
      <c r="H6" s="10"/>
      <c r="I6"/>
      <c r="J6"/>
      <c r="K6"/>
      <c r="L6"/>
      <c r="M6"/>
      <c r="N6"/>
      <c r="O6"/>
      <c r="P6"/>
      <c r="R6" s="17">
        <v>3</v>
      </c>
      <c r="S6" s="15">
        <v>0</v>
      </c>
      <c r="T6" s="15">
        <v>0</v>
      </c>
      <c r="U6" s="15">
        <v>0</v>
      </c>
      <c r="V6" s="15">
        <v>0</v>
      </c>
      <c r="W6" s="15">
        <v>0</v>
      </c>
      <c r="X6" s="15">
        <v>0</v>
      </c>
      <c r="Z6" s="14">
        <v>3</v>
      </c>
    </row>
    <row r="7" spans="1:26" x14ac:dyDescent="0.85">
      <c r="A7" s="5">
        <f t="shared" si="0"/>
        <v>6</v>
      </c>
      <c r="B7" s="13">
        <v>16</v>
      </c>
      <c r="C7" s="13">
        <v>39</v>
      </c>
      <c r="D7" s="13">
        <v>7</v>
      </c>
      <c r="E7" s="13">
        <v>7</v>
      </c>
      <c r="F7" s="13">
        <v>18</v>
      </c>
      <c r="G7" s="9"/>
      <c r="H7" s="10"/>
      <c r="I7"/>
      <c r="J7"/>
      <c r="K7"/>
      <c r="L7"/>
      <c r="M7"/>
      <c r="N7"/>
      <c r="O7"/>
      <c r="P7"/>
      <c r="R7" s="17">
        <v>4</v>
      </c>
      <c r="S7" s="15">
        <v>0.1</v>
      </c>
      <c r="T7" s="15">
        <v>0.1</v>
      </c>
      <c r="U7" s="15">
        <v>0.4</v>
      </c>
      <c r="V7" s="15">
        <v>0.05</v>
      </c>
      <c r="W7" s="15">
        <v>0.25</v>
      </c>
      <c r="X7" s="15">
        <v>0</v>
      </c>
    </row>
    <row r="8" spans="1:26" x14ac:dyDescent="0.85">
      <c r="A8" s="5">
        <f t="shared" si="0"/>
        <v>7</v>
      </c>
      <c r="B8" s="13">
        <v>20</v>
      </c>
      <c r="C8" s="13">
        <v>54</v>
      </c>
      <c r="D8" s="13">
        <v>10</v>
      </c>
      <c r="E8" s="13">
        <v>7</v>
      </c>
      <c r="F8" s="13">
        <v>12</v>
      </c>
      <c r="G8" s="9"/>
      <c r="H8" s="10"/>
      <c r="I8"/>
      <c r="J8"/>
      <c r="K8"/>
      <c r="L8"/>
      <c r="M8"/>
      <c r="N8"/>
      <c r="O8"/>
      <c r="P8"/>
      <c r="R8" s="17">
        <v>5</v>
      </c>
      <c r="S8" s="15">
        <v>0</v>
      </c>
      <c r="T8" s="15">
        <v>0</v>
      </c>
      <c r="U8" s="15">
        <v>0</v>
      </c>
      <c r="V8" s="15">
        <v>0</v>
      </c>
      <c r="W8" s="15">
        <v>0</v>
      </c>
      <c r="X8" s="15">
        <v>0</v>
      </c>
    </row>
    <row r="9" spans="1:26" x14ac:dyDescent="0.85">
      <c r="A9" s="5">
        <f t="shared" si="0"/>
        <v>8</v>
      </c>
      <c r="B9" s="13">
        <v>13</v>
      </c>
      <c r="C9" s="13">
        <v>44</v>
      </c>
      <c r="D9" s="13">
        <v>4</v>
      </c>
      <c r="E9" s="13">
        <v>2</v>
      </c>
      <c r="F9" s="13">
        <v>18</v>
      </c>
      <c r="G9" s="9"/>
      <c r="H9" s="10"/>
      <c r="I9"/>
      <c r="J9"/>
      <c r="K9"/>
      <c r="L9"/>
      <c r="M9"/>
      <c r="N9"/>
      <c r="O9"/>
      <c r="P9"/>
      <c r="R9" s="17">
        <v>6</v>
      </c>
      <c r="S9" s="15">
        <v>0.05</v>
      </c>
      <c r="T9" s="15">
        <v>0.05</v>
      </c>
      <c r="U9" s="15">
        <v>0.2</v>
      </c>
      <c r="V9" s="15">
        <v>0</v>
      </c>
      <c r="W9" s="15">
        <v>0.2</v>
      </c>
      <c r="X9" s="15">
        <v>0.1</v>
      </c>
      <c r="Z9" s="1"/>
    </row>
    <row r="10" spans="1:26" x14ac:dyDescent="0.85">
      <c r="A10" s="5">
        <f t="shared" si="0"/>
        <v>9</v>
      </c>
      <c r="B10" s="13">
        <v>8</v>
      </c>
      <c r="C10" s="13">
        <v>39</v>
      </c>
      <c r="F10" s="13">
        <v>18</v>
      </c>
      <c r="G10" s="9"/>
      <c r="H10" s="10"/>
      <c r="I10"/>
      <c r="J10"/>
      <c r="K10"/>
      <c r="L10"/>
      <c r="M10"/>
      <c r="N10"/>
      <c r="O10"/>
      <c r="P10"/>
      <c r="R10" s="17">
        <v>7</v>
      </c>
      <c r="S10" s="15">
        <v>0</v>
      </c>
      <c r="T10" s="15">
        <v>0</v>
      </c>
      <c r="U10" s="15">
        <v>0</v>
      </c>
      <c r="V10" s="15">
        <v>0</v>
      </c>
      <c r="W10" s="15">
        <v>0</v>
      </c>
      <c r="X10" s="15">
        <v>0</v>
      </c>
      <c r="Z10" s="1"/>
    </row>
    <row r="11" spans="1:26" x14ac:dyDescent="0.85">
      <c r="A11" s="5">
        <f t="shared" si="0"/>
        <v>10</v>
      </c>
      <c r="B11" s="13">
        <v>18</v>
      </c>
      <c r="C11" s="13">
        <v>38</v>
      </c>
      <c r="F11" s="13">
        <v>24</v>
      </c>
      <c r="G11" s="9"/>
      <c r="H11" s="10"/>
      <c r="I11"/>
      <c r="J11"/>
      <c r="K11"/>
      <c r="L11"/>
      <c r="M11"/>
      <c r="N11"/>
      <c r="O11"/>
      <c r="P11"/>
      <c r="R11" s="17">
        <v>8</v>
      </c>
      <c r="S11" s="15">
        <v>0</v>
      </c>
      <c r="T11" s="15">
        <v>0.2</v>
      </c>
      <c r="U11" s="15">
        <v>0.1</v>
      </c>
      <c r="V11" s="15">
        <v>0</v>
      </c>
      <c r="W11" s="15">
        <v>0.1</v>
      </c>
      <c r="X11" s="15">
        <v>0.2</v>
      </c>
      <c r="Z11" s="1"/>
    </row>
    <row r="12" spans="1:26" x14ac:dyDescent="0.85">
      <c r="A12" s="5">
        <f t="shared" si="0"/>
        <v>11</v>
      </c>
      <c r="B12" s="13">
        <v>8</v>
      </c>
      <c r="C12" s="13">
        <v>43</v>
      </c>
      <c r="F12" s="13">
        <v>30</v>
      </c>
      <c r="G12" s="9"/>
      <c r="H12" s="10"/>
      <c r="I12"/>
      <c r="J12"/>
      <c r="K12"/>
      <c r="L12"/>
      <c r="M12"/>
      <c r="N12"/>
      <c r="O12"/>
      <c r="P12"/>
    </row>
    <row r="13" spans="1:26" x14ac:dyDescent="0.85">
      <c r="A13" s="5">
        <f t="shared" si="0"/>
        <v>12</v>
      </c>
      <c r="B13" s="13">
        <v>14</v>
      </c>
      <c r="C13" s="13">
        <v>53</v>
      </c>
      <c r="F13" s="13">
        <v>30</v>
      </c>
      <c r="G13" s="9"/>
      <c r="H13" s="10"/>
      <c r="I13"/>
      <c r="J13"/>
      <c r="K13"/>
      <c r="L13"/>
      <c r="M13"/>
      <c r="N13"/>
      <c r="O13"/>
      <c r="P13"/>
    </row>
    <row r="14" spans="1:26" x14ac:dyDescent="0.85">
      <c r="A14" s="5">
        <f t="shared" si="0"/>
        <v>13</v>
      </c>
      <c r="B14" s="13">
        <v>15</v>
      </c>
      <c r="C14" s="13">
        <v>33</v>
      </c>
      <c r="F14" s="13">
        <v>24</v>
      </c>
      <c r="G14" s="9"/>
      <c r="H14" s="10"/>
      <c r="I14"/>
      <c r="J14"/>
      <c r="K14"/>
      <c r="L14"/>
      <c r="M14"/>
      <c r="N14"/>
      <c r="O14"/>
      <c r="P14"/>
    </row>
    <row r="15" spans="1:26" x14ac:dyDescent="0.85">
      <c r="A15" s="5">
        <f t="shared" si="0"/>
        <v>14</v>
      </c>
      <c r="B15" s="13">
        <v>10</v>
      </c>
      <c r="C15" s="13">
        <v>40</v>
      </c>
      <c r="F15" s="13">
        <v>30</v>
      </c>
      <c r="G15" s="9"/>
      <c r="H15" s="10"/>
      <c r="I15"/>
      <c r="J15"/>
      <c r="K15"/>
      <c r="L15"/>
      <c r="M15"/>
      <c r="N15"/>
      <c r="O15"/>
      <c r="P15"/>
    </row>
    <row r="16" spans="1:26" x14ac:dyDescent="0.85">
      <c r="A16" s="5">
        <f t="shared" si="0"/>
        <v>15</v>
      </c>
      <c r="B16" s="13">
        <v>17</v>
      </c>
      <c r="C16" s="13">
        <v>49</v>
      </c>
      <c r="F16" s="13">
        <v>30</v>
      </c>
      <c r="G16" s="9"/>
      <c r="H16" s="10"/>
      <c r="I16"/>
      <c r="J16"/>
      <c r="K16"/>
      <c r="L16"/>
      <c r="M16"/>
      <c r="N16"/>
      <c r="O16"/>
      <c r="P16"/>
    </row>
    <row r="17" spans="1:16" x14ac:dyDescent="0.85">
      <c r="A17" s="5">
        <f t="shared" si="0"/>
        <v>16</v>
      </c>
      <c r="B17" s="13">
        <v>21</v>
      </c>
      <c r="C17" s="13">
        <v>36</v>
      </c>
      <c r="F17" s="13">
        <v>24</v>
      </c>
      <c r="G17" s="9"/>
      <c r="H17" s="10"/>
      <c r="I17"/>
      <c r="J17"/>
      <c r="K17"/>
      <c r="L17"/>
      <c r="M17"/>
      <c r="N17"/>
      <c r="O17"/>
      <c r="P17"/>
    </row>
    <row r="18" spans="1:16" x14ac:dyDescent="0.85">
      <c r="A18" s="5">
        <f t="shared" si="0"/>
        <v>17</v>
      </c>
      <c r="B18" s="13">
        <v>8</v>
      </c>
      <c r="C18" s="13">
        <v>56</v>
      </c>
      <c r="F18" s="13">
        <v>30</v>
      </c>
      <c r="G18" s="9"/>
      <c r="H18" s="10"/>
      <c r="I18"/>
      <c r="J18"/>
      <c r="K18"/>
      <c r="L18"/>
      <c r="M18"/>
      <c r="N18"/>
      <c r="O18"/>
      <c r="P18"/>
    </row>
    <row r="19" spans="1:16" x14ac:dyDescent="0.85">
      <c r="A19" s="5">
        <f t="shared" si="0"/>
        <v>18</v>
      </c>
      <c r="B19" s="13">
        <v>12</v>
      </c>
      <c r="C19" s="13">
        <v>54</v>
      </c>
      <c r="F19" s="13">
        <v>18</v>
      </c>
      <c r="G19" s="9"/>
      <c r="H19" s="10"/>
      <c r="I19"/>
      <c r="J19"/>
      <c r="K19"/>
      <c r="L19"/>
      <c r="M19"/>
      <c r="N19"/>
      <c r="O19"/>
      <c r="P19"/>
    </row>
    <row r="20" spans="1:16" x14ac:dyDescent="0.85">
      <c r="A20" s="5">
        <f t="shared" si="0"/>
        <v>19</v>
      </c>
      <c r="B20" s="13">
        <v>15</v>
      </c>
      <c r="C20" s="13">
        <v>46</v>
      </c>
      <c r="F20" s="13">
        <v>18</v>
      </c>
      <c r="G20" s="9"/>
      <c r="H20" s="10"/>
      <c r="I20"/>
      <c r="J20"/>
      <c r="K20"/>
      <c r="L20"/>
      <c r="M20"/>
      <c r="N20"/>
      <c r="O20"/>
      <c r="P20"/>
    </row>
    <row r="21" spans="1:16" x14ac:dyDescent="0.85">
      <c r="A21" s="5">
        <f t="shared" si="0"/>
        <v>20</v>
      </c>
      <c r="B21" s="13">
        <v>10</v>
      </c>
      <c r="C21" s="13">
        <v>47</v>
      </c>
      <c r="F21" s="13">
        <v>24</v>
      </c>
      <c r="G21" s="9"/>
      <c r="H21" s="10"/>
      <c r="I21"/>
      <c r="J21"/>
      <c r="K21"/>
      <c r="L21"/>
      <c r="M21"/>
      <c r="N21"/>
      <c r="O21"/>
      <c r="P21"/>
    </row>
    <row r="22" spans="1:16" x14ac:dyDescent="0.85">
      <c r="A22" s="5">
        <f t="shared" si="0"/>
        <v>21</v>
      </c>
      <c r="B22" s="13">
        <v>16</v>
      </c>
      <c r="C22" s="13">
        <v>44</v>
      </c>
      <c r="F22" s="13">
        <v>30</v>
      </c>
      <c r="G22" s="9"/>
      <c r="H22" s="10"/>
      <c r="I22"/>
      <c r="J22"/>
      <c r="K22"/>
      <c r="L22"/>
      <c r="M22"/>
      <c r="N22"/>
      <c r="O22"/>
      <c r="P22"/>
    </row>
    <row r="23" spans="1:16" x14ac:dyDescent="0.85">
      <c r="A23" s="5">
        <f t="shared" si="0"/>
        <v>22</v>
      </c>
      <c r="B23" s="13">
        <v>16</v>
      </c>
      <c r="C23" s="13">
        <v>53</v>
      </c>
      <c r="F23" s="13">
        <v>24</v>
      </c>
      <c r="G23" s="9"/>
      <c r="H23" s="10"/>
      <c r="I23"/>
      <c r="J23"/>
      <c r="K23"/>
      <c r="L23"/>
      <c r="M23"/>
      <c r="N23"/>
      <c r="O23"/>
      <c r="P23"/>
    </row>
    <row r="24" spans="1:16" x14ac:dyDescent="0.85">
      <c r="A24" s="5">
        <f t="shared" si="0"/>
        <v>23</v>
      </c>
      <c r="B24" s="13">
        <v>11</v>
      </c>
      <c r="C24" s="13">
        <v>61</v>
      </c>
      <c r="F24" s="13">
        <v>24</v>
      </c>
      <c r="G24" s="9"/>
      <c r="H24" s="10"/>
      <c r="I24"/>
      <c r="J24"/>
      <c r="K24"/>
      <c r="L24"/>
      <c r="M24"/>
      <c r="N24"/>
      <c r="O24"/>
      <c r="P24"/>
    </row>
    <row r="25" spans="1:16" x14ac:dyDescent="0.85">
      <c r="A25" s="5">
        <f t="shared" si="0"/>
        <v>24</v>
      </c>
      <c r="B25" s="13">
        <v>11</v>
      </c>
      <c r="C25" s="13">
        <v>59</v>
      </c>
      <c r="F25" s="13">
        <v>30</v>
      </c>
      <c r="G25" s="9"/>
      <c r="H25" s="10"/>
      <c r="I25"/>
      <c r="J25"/>
      <c r="K25"/>
      <c r="L25"/>
      <c r="M25"/>
      <c r="N25"/>
      <c r="O25"/>
      <c r="P25"/>
    </row>
    <row r="26" spans="1:16" x14ac:dyDescent="0.85">
      <c r="A26" s="5">
        <f t="shared" si="0"/>
        <v>25</v>
      </c>
      <c r="B26" s="13">
        <v>16</v>
      </c>
      <c r="C26" s="13">
        <v>40</v>
      </c>
      <c r="F26" s="13">
        <v>30</v>
      </c>
      <c r="G26" s="9"/>
      <c r="H26" s="10"/>
      <c r="I26"/>
      <c r="J26"/>
      <c r="K26"/>
      <c r="L26"/>
      <c r="M26"/>
      <c r="N26"/>
      <c r="O26"/>
      <c r="P26"/>
    </row>
    <row r="27" spans="1:16" x14ac:dyDescent="0.85">
      <c r="A27" s="5">
        <f t="shared" si="0"/>
        <v>26</v>
      </c>
      <c r="B27" s="13">
        <v>7</v>
      </c>
      <c r="C27" s="13">
        <v>48</v>
      </c>
      <c r="F27" s="13">
        <v>24</v>
      </c>
      <c r="G27" s="9"/>
      <c r="H27" s="10"/>
      <c r="I27"/>
      <c r="J27"/>
      <c r="K27"/>
      <c r="L27"/>
      <c r="M27"/>
      <c r="N27"/>
      <c r="O27"/>
      <c r="P27"/>
    </row>
    <row r="28" spans="1:16" x14ac:dyDescent="0.85">
      <c r="A28" s="5">
        <f t="shared" si="0"/>
        <v>27</v>
      </c>
      <c r="B28" s="13">
        <v>12</v>
      </c>
      <c r="C28" s="13">
        <v>36</v>
      </c>
      <c r="F28" s="13">
        <v>18</v>
      </c>
      <c r="G28" s="9"/>
      <c r="H28" s="10"/>
      <c r="I28"/>
      <c r="J28"/>
      <c r="K28"/>
      <c r="L28"/>
      <c r="M28"/>
      <c r="N28"/>
      <c r="O28"/>
      <c r="P28"/>
    </row>
    <row r="29" spans="1:16" x14ac:dyDescent="0.85">
      <c r="A29" s="5">
        <f t="shared" si="0"/>
        <v>28</v>
      </c>
      <c r="B29" s="13">
        <v>15</v>
      </c>
      <c r="C29" s="13">
        <v>43</v>
      </c>
      <c r="F29" s="13">
        <v>12</v>
      </c>
      <c r="G29" s="9"/>
      <c r="H29" s="10"/>
      <c r="I29"/>
      <c r="J29"/>
      <c r="K29"/>
      <c r="L29"/>
      <c r="M29"/>
      <c r="N29"/>
      <c r="O29"/>
      <c r="P29"/>
    </row>
    <row r="30" spans="1:16" x14ac:dyDescent="0.85">
      <c r="A30" s="5">
        <f t="shared" si="0"/>
        <v>29</v>
      </c>
      <c r="B30" s="13">
        <v>8</v>
      </c>
      <c r="C30" s="13">
        <v>42</v>
      </c>
      <c r="F30" s="13">
        <v>18</v>
      </c>
      <c r="G30" s="9"/>
      <c r="H30" s="10"/>
      <c r="I30"/>
      <c r="J30"/>
      <c r="K30"/>
      <c r="L30"/>
      <c r="M30"/>
      <c r="N30"/>
      <c r="O30"/>
      <c r="P30"/>
    </row>
    <row r="31" spans="1:16" x14ac:dyDescent="0.85">
      <c r="A31" s="5">
        <f t="shared" si="0"/>
        <v>30</v>
      </c>
      <c r="B31" s="13">
        <v>19</v>
      </c>
      <c r="C31" s="13">
        <v>47</v>
      </c>
      <c r="F31" s="13">
        <v>18</v>
      </c>
      <c r="G31" s="9"/>
      <c r="H31" s="10"/>
      <c r="I31"/>
      <c r="J31"/>
      <c r="K31"/>
      <c r="L31"/>
      <c r="M31"/>
      <c r="N31"/>
      <c r="O31"/>
      <c r="P31"/>
    </row>
    <row r="32" spans="1:16" x14ac:dyDescent="0.85">
      <c r="A32" s="5">
        <f t="shared" si="0"/>
        <v>31</v>
      </c>
      <c r="B32" s="13">
        <v>12</v>
      </c>
      <c r="C32" s="13">
        <v>51</v>
      </c>
      <c r="F32" s="13">
        <v>12</v>
      </c>
      <c r="G32" s="9"/>
      <c r="H32" s="10"/>
      <c r="I32"/>
      <c r="J32"/>
      <c r="K32"/>
      <c r="L32"/>
      <c r="M32"/>
      <c r="N32"/>
      <c r="O32"/>
      <c r="P32"/>
    </row>
    <row r="33" spans="1:16" x14ac:dyDescent="0.85">
      <c r="A33" s="5">
        <f t="shared" si="0"/>
        <v>32</v>
      </c>
      <c r="B33" s="13">
        <v>11</v>
      </c>
      <c r="C33" s="13">
        <v>49</v>
      </c>
      <c r="F33" s="13">
        <v>18</v>
      </c>
      <c r="G33" s="9"/>
      <c r="H33" s="10"/>
      <c r="I33"/>
      <c r="J33"/>
      <c r="K33"/>
      <c r="L33"/>
      <c r="M33"/>
      <c r="N33"/>
      <c r="O33"/>
      <c r="P33"/>
    </row>
    <row r="34" spans="1:16" x14ac:dyDescent="0.85">
      <c r="A34" s="5">
        <f t="shared" si="0"/>
        <v>33</v>
      </c>
      <c r="B34" s="13">
        <v>9</v>
      </c>
      <c r="C34" s="13">
        <v>42</v>
      </c>
      <c r="F34" s="13">
        <v>30</v>
      </c>
      <c r="G34" s="9"/>
      <c r="H34" s="10"/>
      <c r="I34"/>
      <c r="J34"/>
      <c r="K34"/>
      <c r="L34"/>
      <c r="M34"/>
      <c r="N34"/>
      <c r="O34"/>
      <c r="P34"/>
    </row>
    <row r="35" spans="1:16" x14ac:dyDescent="0.85">
      <c r="A35" s="5">
        <f t="shared" si="0"/>
        <v>34</v>
      </c>
      <c r="B35" s="13">
        <v>18</v>
      </c>
      <c r="C35" s="13">
        <v>60</v>
      </c>
      <c r="F35" s="13">
        <v>30</v>
      </c>
      <c r="G35" s="9"/>
      <c r="H35" s="10"/>
      <c r="I35"/>
      <c r="J35"/>
      <c r="K35"/>
      <c r="L35"/>
      <c r="M35"/>
      <c r="N35"/>
      <c r="O35"/>
      <c r="P35"/>
    </row>
    <row r="36" spans="1:16" x14ac:dyDescent="0.85">
      <c r="A36" s="5">
        <f t="shared" si="0"/>
        <v>35</v>
      </c>
      <c r="B36" s="13">
        <v>11</v>
      </c>
      <c r="C36" s="13">
        <v>36</v>
      </c>
      <c r="F36" s="13">
        <v>30</v>
      </c>
      <c r="G36" s="9"/>
      <c r="H36" s="10"/>
      <c r="I36"/>
      <c r="J36"/>
      <c r="K36"/>
      <c r="L36"/>
      <c r="M36"/>
      <c r="N36"/>
      <c r="O36"/>
      <c r="P36"/>
    </row>
    <row r="37" spans="1:16" x14ac:dyDescent="0.85">
      <c r="A37" s="5">
        <f t="shared" si="0"/>
        <v>36</v>
      </c>
      <c r="B37" s="13">
        <v>7</v>
      </c>
      <c r="C37" s="13">
        <v>45</v>
      </c>
      <c r="F37" s="13">
        <v>30</v>
      </c>
      <c r="G37" s="9"/>
      <c r="H37" s="10"/>
      <c r="I37"/>
      <c r="J37"/>
      <c r="K37"/>
      <c r="L37"/>
      <c r="M37"/>
      <c r="N37"/>
      <c r="O37"/>
      <c r="P37"/>
    </row>
    <row r="38" spans="1:16" x14ac:dyDescent="0.85">
      <c r="A38" s="5">
        <f t="shared" si="0"/>
        <v>37</v>
      </c>
      <c r="B38" s="13">
        <v>19</v>
      </c>
      <c r="C38" s="13">
        <v>56</v>
      </c>
      <c r="F38" s="13">
        <v>24</v>
      </c>
      <c r="G38" s="9"/>
      <c r="H38" s="10"/>
      <c r="I38"/>
      <c r="J38"/>
      <c r="K38"/>
      <c r="L38"/>
      <c r="M38"/>
      <c r="N38"/>
      <c r="O38"/>
      <c r="P38"/>
    </row>
    <row r="39" spans="1:16" x14ac:dyDescent="0.85">
      <c r="A39" s="5">
        <f t="shared" si="0"/>
        <v>38</v>
      </c>
      <c r="B39" s="13">
        <v>21</v>
      </c>
      <c r="C39" s="13">
        <v>58</v>
      </c>
      <c r="F39" s="13">
        <v>30</v>
      </c>
      <c r="G39" s="9"/>
      <c r="H39" s="10"/>
      <c r="I39"/>
      <c r="J39"/>
      <c r="K39"/>
      <c r="L39"/>
      <c r="M39"/>
      <c r="N39"/>
      <c r="O39"/>
      <c r="P39"/>
    </row>
    <row r="40" spans="1:16" x14ac:dyDescent="0.85">
      <c r="A40" s="5">
        <f t="shared" si="0"/>
        <v>39</v>
      </c>
      <c r="B40" s="13">
        <v>12</v>
      </c>
      <c r="C40" s="13">
        <v>43</v>
      </c>
      <c r="F40" s="13">
        <v>24</v>
      </c>
      <c r="G40" s="9"/>
      <c r="H40" s="10"/>
      <c r="I40"/>
      <c r="J40"/>
      <c r="K40"/>
      <c r="L40"/>
      <c r="M40"/>
      <c r="N40"/>
      <c r="O40"/>
      <c r="P40"/>
    </row>
    <row r="41" spans="1:16" x14ac:dyDescent="0.85">
      <c r="A41" s="5">
        <f t="shared" si="0"/>
        <v>40</v>
      </c>
      <c r="B41" s="13">
        <v>8</v>
      </c>
      <c r="C41" s="13">
        <v>32</v>
      </c>
      <c r="F41" s="13">
        <v>30</v>
      </c>
      <c r="G41" s="9"/>
      <c r="H41" s="10"/>
      <c r="I41"/>
      <c r="J41"/>
      <c r="K41"/>
      <c r="L41"/>
      <c r="M41"/>
      <c r="N41"/>
      <c r="O41"/>
      <c r="P41"/>
    </row>
    <row r="42" spans="1:16" x14ac:dyDescent="0.85">
      <c r="A42" s="5">
        <f t="shared" si="0"/>
        <v>41</v>
      </c>
      <c r="B42" s="13">
        <v>15</v>
      </c>
      <c r="C42" s="13">
        <v>52</v>
      </c>
      <c r="F42" s="13">
        <v>24</v>
      </c>
      <c r="G42" s="9"/>
      <c r="H42" s="10"/>
      <c r="I42"/>
      <c r="J42"/>
      <c r="K42"/>
      <c r="L42"/>
      <c r="M42"/>
      <c r="N42"/>
      <c r="O42"/>
      <c r="P42"/>
    </row>
    <row r="43" spans="1:16" x14ac:dyDescent="0.85">
      <c r="A43" s="5">
        <f t="shared" si="0"/>
        <v>42</v>
      </c>
      <c r="B43" s="13">
        <v>14</v>
      </c>
      <c r="C43" s="13">
        <v>45</v>
      </c>
      <c r="F43" s="13">
        <v>30</v>
      </c>
      <c r="G43" s="9"/>
      <c r="H43" s="10"/>
      <c r="I43"/>
      <c r="J43"/>
      <c r="K43"/>
      <c r="L43"/>
      <c r="M43"/>
      <c r="N43"/>
      <c r="O43"/>
      <c r="P43"/>
    </row>
    <row r="44" spans="1:16" x14ac:dyDescent="0.85">
      <c r="A44" s="5">
        <f t="shared" si="0"/>
        <v>43</v>
      </c>
      <c r="B44" s="13">
        <v>10</v>
      </c>
      <c r="C44" s="13">
        <v>36</v>
      </c>
      <c r="F44" s="13">
        <v>30</v>
      </c>
      <c r="G44" s="9"/>
      <c r="H44" s="10"/>
      <c r="I44"/>
      <c r="J44"/>
      <c r="K44"/>
      <c r="L44"/>
      <c r="M44"/>
      <c r="N44"/>
      <c r="O44"/>
      <c r="P44"/>
    </row>
    <row r="45" spans="1:16" x14ac:dyDescent="0.85">
      <c r="A45" s="5">
        <f t="shared" si="0"/>
        <v>44</v>
      </c>
      <c r="B45" s="13">
        <v>11</v>
      </c>
      <c r="C45" s="13">
        <v>46</v>
      </c>
      <c r="F45" s="13">
        <v>30</v>
      </c>
      <c r="G45" s="9"/>
      <c r="H45" s="10"/>
      <c r="I45"/>
      <c r="J45"/>
      <c r="K45"/>
      <c r="L45"/>
      <c r="M45"/>
      <c r="N45"/>
      <c r="O45"/>
      <c r="P45"/>
    </row>
    <row r="46" spans="1:16" x14ac:dyDescent="0.85">
      <c r="A46" s="5">
        <f t="shared" si="0"/>
        <v>45</v>
      </c>
      <c r="B46" s="13">
        <v>16</v>
      </c>
      <c r="C46" s="13">
        <v>41</v>
      </c>
      <c r="F46" s="13">
        <v>24</v>
      </c>
      <c r="G46" s="9"/>
      <c r="H46" s="10"/>
      <c r="I46"/>
      <c r="J46"/>
      <c r="K46"/>
      <c r="L46"/>
      <c r="M46"/>
      <c r="N46"/>
      <c r="O46"/>
      <c r="P46"/>
    </row>
    <row r="47" spans="1:16" x14ac:dyDescent="0.85">
      <c r="A47" s="5">
        <f t="shared" si="0"/>
        <v>46</v>
      </c>
      <c r="B47" s="13">
        <v>13</v>
      </c>
      <c r="C47" s="13">
        <v>52</v>
      </c>
      <c r="F47" s="13">
        <v>30</v>
      </c>
      <c r="G47" s="9"/>
      <c r="H47" s="10"/>
      <c r="I47"/>
      <c r="J47"/>
      <c r="K47"/>
      <c r="L47"/>
      <c r="M47"/>
      <c r="N47"/>
      <c r="O47"/>
      <c r="P47"/>
    </row>
    <row r="48" spans="1:16" x14ac:dyDescent="0.85">
      <c r="A48" s="5">
        <f t="shared" si="0"/>
        <v>47</v>
      </c>
      <c r="B48" s="13">
        <v>15</v>
      </c>
      <c r="C48" s="13">
        <v>40</v>
      </c>
      <c r="F48" s="13">
        <v>30</v>
      </c>
      <c r="G48" s="9"/>
      <c r="H48" s="10"/>
      <c r="I48"/>
      <c r="J48"/>
      <c r="K48"/>
      <c r="L48"/>
      <c r="M48"/>
      <c r="N48"/>
      <c r="O48"/>
      <c r="P48"/>
    </row>
    <row r="49" spans="1:16" x14ac:dyDescent="0.85">
      <c r="A49" s="5">
        <f t="shared" si="0"/>
        <v>48</v>
      </c>
      <c r="B49" s="13">
        <v>15</v>
      </c>
      <c r="C49" s="13">
        <v>56</v>
      </c>
      <c r="F49" s="13">
        <v>24</v>
      </c>
      <c r="G49" s="9"/>
      <c r="H49" s="10"/>
      <c r="I49"/>
      <c r="J49"/>
      <c r="K49"/>
      <c r="L49"/>
      <c r="M49"/>
      <c r="N49"/>
      <c r="O49"/>
      <c r="P49"/>
    </row>
    <row r="50" spans="1:16" x14ac:dyDescent="0.85">
      <c r="A50" s="5">
        <f t="shared" si="0"/>
        <v>49</v>
      </c>
      <c r="B50" s="13">
        <v>9</v>
      </c>
      <c r="C50" s="13">
        <v>35</v>
      </c>
      <c r="F50" s="13">
        <v>18</v>
      </c>
      <c r="G50" s="9"/>
      <c r="H50" s="10"/>
      <c r="I50"/>
      <c r="J50"/>
      <c r="K50"/>
      <c r="L50"/>
      <c r="M50"/>
      <c r="N50"/>
      <c r="O50"/>
      <c r="P50"/>
    </row>
    <row r="51" spans="1:16" x14ac:dyDescent="0.85">
      <c r="A51" s="5">
        <f t="shared" si="0"/>
        <v>50</v>
      </c>
      <c r="B51" s="13">
        <v>15</v>
      </c>
      <c r="C51" s="13">
        <v>52</v>
      </c>
      <c r="F51" s="13">
        <v>12</v>
      </c>
      <c r="G51" s="9"/>
      <c r="H51" s="10"/>
      <c r="I51"/>
      <c r="J51"/>
      <c r="K51"/>
      <c r="L51"/>
      <c r="M51"/>
      <c r="N51"/>
      <c r="O51"/>
      <c r="P51"/>
    </row>
    <row r="52" spans="1:16" x14ac:dyDescent="0.85">
      <c r="A52" s="5">
        <f t="shared" si="0"/>
        <v>51</v>
      </c>
      <c r="B52" s="13">
        <v>17</v>
      </c>
      <c r="C52" s="13">
        <v>38</v>
      </c>
      <c r="F52" s="13">
        <v>18</v>
      </c>
      <c r="G52" s="9"/>
      <c r="H52" s="10"/>
      <c r="I52"/>
      <c r="J52"/>
      <c r="K52"/>
      <c r="L52"/>
      <c r="M52"/>
      <c r="N52"/>
      <c r="O52"/>
      <c r="P52"/>
    </row>
    <row r="53" spans="1:16" ht="15.25" thickBot="1" x14ac:dyDescent="1">
      <c r="A53" s="5">
        <f>A52+1</f>
        <v>52</v>
      </c>
      <c r="B53" s="13">
        <v>11</v>
      </c>
      <c r="C53" s="13">
        <v>30</v>
      </c>
      <c r="F53" s="13">
        <v>12</v>
      </c>
      <c r="G53" s="11"/>
      <c r="H53" s="12"/>
      <c r="I53"/>
      <c r="J53"/>
      <c r="K53"/>
      <c r="L53"/>
      <c r="M53"/>
      <c r="N53"/>
      <c r="O53"/>
      <c r="P53"/>
    </row>
    <row r="54" spans="1:16" x14ac:dyDescent="0.85">
      <c r="B54" s="18"/>
      <c r="C54" s="18"/>
      <c r="D54" s="19"/>
      <c r="E54" s="19"/>
      <c r="F54" s="19"/>
    </row>
    <row r="55" spans="1:16" x14ac:dyDescent="0.85">
      <c r="B55" s="18"/>
      <c r="C55" s="18"/>
    </row>
  </sheetData>
  <pageMargins left="0.7" right="0.7" top="0.75" bottom="0.75" header="0.3" footer="0.3"/>
  <pageSetup paperSize="9" scale="53" orientation="portrait" horizontalDpi="1200" verticalDpi="12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C2A6E5D76F57046AE04482D981A6C5B" ma:contentTypeVersion="13" ma:contentTypeDescription="Create a new document." ma:contentTypeScope="" ma:versionID="49ebe2259e56fd9d18e8d6f0a33733af">
  <xsd:schema xmlns:xsd="http://www.w3.org/2001/XMLSchema" xmlns:xs="http://www.w3.org/2001/XMLSchema" xmlns:p="http://schemas.microsoft.com/office/2006/metadata/properties" xmlns:ns3="f65fba26-ec4d-4737-8981-2465d28de716" xmlns:ns4="0d9489ea-1809-4c07-ad6e-8c53781fb825" targetNamespace="http://schemas.microsoft.com/office/2006/metadata/properties" ma:root="true" ma:fieldsID="ad0f2fa0f747b97451fddaadd4e71d78" ns3:_="" ns4:_="">
    <xsd:import namespace="f65fba26-ec4d-4737-8981-2465d28de716"/>
    <xsd:import namespace="0d9489ea-1809-4c07-ad6e-8c53781fb825"/>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Location" minOccurs="0"/>
                <xsd:element ref="ns3:MediaServiceAutoKeyPoints" minOccurs="0"/>
                <xsd:element ref="ns3:MediaServiceKeyPoint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65fba26-ec4d-4737-8981-2465d28de71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d9489ea-1809-4c07-ad6e-8c53781fb825"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SharingHintHash" ma:index="2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506F694-2667-4197-B9FD-C34329FE6B4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65fba26-ec4d-4737-8981-2465d28de716"/>
    <ds:schemaRef ds:uri="0d9489ea-1809-4c07-ad6e-8c53781fb82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7A5DA32-6D5A-48D4-80F9-97C2D2D66798}">
  <ds:schemaRefs>
    <ds:schemaRef ds:uri="http://schemas.microsoft.com/sharepoint/v3/contenttype/forms"/>
  </ds:schemaRefs>
</ds:datastoreItem>
</file>

<file path=customXml/itemProps3.xml><?xml version="1.0" encoding="utf-8"?>
<ds:datastoreItem xmlns:ds="http://schemas.openxmlformats.org/officeDocument/2006/customXml" ds:itemID="{57279970-323A-44F9-AB2B-CE6BBFEE39DE}">
  <ds:schemaRefs>
    <ds:schemaRef ds:uri="f65fba26-ec4d-4737-8981-2465d28de716"/>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0d9489ea-1809-4c07-ad6e-8c53781fb825"/>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Case 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dc:creator>
  <cp:lastModifiedBy>Faersheed Hesaraki</cp:lastModifiedBy>
  <cp:lastPrinted>2015-03-18T20:03:19Z</cp:lastPrinted>
  <dcterms:created xsi:type="dcterms:W3CDTF">2013-03-04T09:03:05Z</dcterms:created>
  <dcterms:modified xsi:type="dcterms:W3CDTF">2021-03-08T03:04:40Z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0x0101001C2A6E5D76F57046AE04482D981A6C5B</vt:lpwstr>
  </property>
</Properties>
</file>