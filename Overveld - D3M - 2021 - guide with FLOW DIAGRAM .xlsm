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3055270\OneDrive - Queen's University Belfast\1 - Lectures\DDDM - MGT7180\___ Lectures and SLIDES\2020-2021\L09\"/>
    </mc:Choice>
  </mc:AlternateContent>
  <bookViews>
    <workbookView xWindow="0" yWindow="0" windowWidth="16455" windowHeight="6300"/>
  </bookViews>
  <sheets>
    <sheet name="Case Data" sheetId="6" r:id="rId1"/>
  </sheets>
  <calcPr calcId="162913"/>
</workbook>
</file>

<file path=xl/calcChain.xml><?xml version="1.0" encoding="utf-8"?>
<calcChain xmlns="http://schemas.openxmlformats.org/spreadsheetml/2006/main">
  <c r="D6" i="6" l="1"/>
  <c r="D4" i="6"/>
  <c r="D3" i="6"/>
  <c r="D10" i="6" l="1"/>
  <c r="D8" i="6"/>
  <c r="B8" i="6"/>
  <c r="B6" i="6"/>
  <c r="B4" i="6"/>
  <c r="B3" i="6"/>
  <c r="K2" i="6"/>
  <c r="N2" i="6"/>
  <c r="O2" i="6" s="1"/>
  <c r="M2" i="6"/>
  <c r="L2" i="6"/>
  <c r="P2" i="6" l="1"/>
  <c r="V13" i="6"/>
  <c r="W13" i="6"/>
  <c r="X13" i="6"/>
  <c r="Y13" i="6"/>
  <c r="Z13" i="6"/>
  <c r="AA13" i="6"/>
  <c r="Q2" i="6" l="1"/>
  <c r="R2" i="6"/>
  <c r="S2" i="6"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alcChain>
</file>

<file path=xl/comments1.xml><?xml version="1.0" encoding="utf-8"?>
<comments xmlns="http://schemas.openxmlformats.org/spreadsheetml/2006/main">
  <authors>
    <author>Faersheed Hesaraki</author>
  </authors>
  <commentList>
    <comment ref="C2" authorId="0" shapeId="0">
      <text>
        <r>
          <rPr>
            <b/>
            <sz val="9"/>
            <color indexed="81"/>
            <rFont val="Tahoma"/>
            <family val="2"/>
          </rPr>
          <t>Faersheed Hesaraki:</t>
        </r>
        <r>
          <rPr>
            <sz val="9"/>
            <color indexed="81"/>
            <rFont val="Tahoma"/>
            <family val="2"/>
          </rPr>
          <t xml:space="preserve">
external arrivals to the first phase of the outpatient clinic </t>
        </r>
      </text>
    </comment>
    <comment ref="D2" authorId="0" shapeId="0">
      <text>
        <r>
          <rPr>
            <b/>
            <sz val="9"/>
            <color indexed="81"/>
            <rFont val="Tahoma"/>
            <family val="2"/>
          </rPr>
          <t>Faersheed Hesaraki:</t>
        </r>
        <r>
          <rPr>
            <sz val="9"/>
            <color indexed="81"/>
            <rFont val="Tahoma"/>
            <family val="2"/>
          </rPr>
          <t xml:space="preserve">
based on appointments from last year</t>
        </r>
      </text>
    </comment>
    <comment ref="E2" authorId="0" shapeId="0">
      <text>
        <r>
          <rPr>
            <b/>
            <sz val="9"/>
            <color indexed="81"/>
            <rFont val="Tahoma"/>
            <family val="2"/>
          </rPr>
          <t>Faersheed Hesaraki:</t>
        </r>
        <r>
          <rPr>
            <sz val="9"/>
            <color indexed="81"/>
            <rFont val="Tahoma"/>
            <family val="2"/>
          </rPr>
          <t xml:space="preserve">
based on appointments from last year</t>
        </r>
      </text>
    </comment>
    <comment ref="F2" authorId="0" shapeId="0">
      <text>
        <r>
          <rPr>
            <b/>
            <sz val="9"/>
            <color indexed="81"/>
            <rFont val="Tahoma"/>
            <family val="2"/>
          </rPr>
          <t>Faersheed Hesaraki:</t>
        </r>
        <r>
          <rPr>
            <sz val="9"/>
            <color indexed="81"/>
            <rFont val="Tahoma"/>
            <family val="2"/>
          </rPr>
          <t xml:space="preserve">
total number of sessions available this week </t>
        </r>
      </text>
    </comment>
    <comment ref="G2" authorId="0" shapeId="0">
      <text>
        <r>
          <rPr>
            <b/>
            <sz val="9"/>
            <color indexed="81"/>
            <rFont val="Tahoma"/>
            <family val="2"/>
          </rPr>
          <t>Faersheed Hesaraki:</t>
        </r>
        <r>
          <rPr>
            <sz val="9"/>
            <color indexed="81"/>
            <rFont val="Tahoma"/>
            <family val="2"/>
          </rPr>
          <t xml:space="preserve">
as an example 
You should come up with a solution rule to fill these two </t>
        </r>
        <r>
          <rPr>
            <b/>
            <sz val="9"/>
            <color indexed="81"/>
            <rFont val="Tahoma"/>
            <family val="2"/>
          </rPr>
          <t>RED</t>
        </r>
        <r>
          <rPr>
            <sz val="9"/>
            <color indexed="81"/>
            <rFont val="Tahoma"/>
            <family val="2"/>
          </rPr>
          <t xml:space="preserve"> columns while splitting the capacity between them and minimizing the cost. Here, the capacity of 18 sessions is split into 11 outpatient and 7 operation sessions.
Note: The sum of these two columns (number of sessions) cannot exceed the capacity. But if your solution needs fewer sessions than the available capacity, the sum of the two number of sessions can be less than the available capacity.</t>
        </r>
      </text>
    </comment>
    <comment ref="H2" authorId="0" shapeId="0">
      <text>
        <r>
          <rPr>
            <b/>
            <sz val="9"/>
            <color indexed="81"/>
            <rFont val="Tahoma"/>
            <family val="2"/>
          </rPr>
          <t>Faersheed Hesaraki:</t>
        </r>
        <r>
          <rPr>
            <sz val="9"/>
            <color indexed="81"/>
            <rFont val="Tahoma"/>
            <family val="2"/>
          </rPr>
          <t xml:space="preserve">
as an example</t>
        </r>
      </text>
    </comment>
    <comment ref="V4" authorId="0" shapeId="0">
      <text>
        <r>
          <rPr>
            <b/>
            <sz val="9"/>
            <color indexed="81"/>
            <rFont val="Tahoma"/>
            <family val="2"/>
          </rPr>
          <t>Faersheed Hesaraki:</t>
        </r>
        <r>
          <rPr>
            <sz val="9"/>
            <color indexed="81"/>
            <rFont val="Tahoma"/>
            <family val="2"/>
          </rPr>
          <t xml:space="preserve">
the </t>
        </r>
        <r>
          <rPr>
            <b/>
            <u/>
            <sz val="9"/>
            <color indexed="81"/>
            <rFont val="Tahoma"/>
            <family val="2"/>
          </rPr>
          <t>fraction</t>
        </r>
        <r>
          <rPr>
            <sz val="9"/>
            <color indexed="81"/>
            <rFont val="Tahoma"/>
            <family val="2"/>
          </rPr>
          <t xml:space="preserve"> of patients who move from the outpatient clinic P to the operation room after 1 week</t>
        </r>
      </text>
    </comment>
    <comment ref="AC4" authorId="0" shapeId="0">
      <text>
        <r>
          <rPr>
            <b/>
            <sz val="9"/>
            <color indexed="81"/>
            <rFont val="Tahoma"/>
            <family val="2"/>
          </rPr>
          <t>Faersheed Hesaraki:</t>
        </r>
        <r>
          <rPr>
            <sz val="9"/>
            <color indexed="81"/>
            <rFont val="Tahoma"/>
            <family val="2"/>
          </rPr>
          <t xml:space="preserve">
average number of patients treated in an outpatient clinic session</t>
        </r>
      </text>
    </comment>
  </commentList>
</comments>
</file>

<file path=xl/sharedStrings.xml><?xml version="1.0" encoding="utf-8"?>
<sst xmlns="http://schemas.openxmlformats.org/spreadsheetml/2006/main" count="28" uniqueCount="28">
  <si>
    <t>P1</t>
  </si>
  <si>
    <t>P2</t>
  </si>
  <si>
    <t>week</t>
  </si>
  <si>
    <t>O</t>
  </si>
  <si>
    <t>lead time</t>
  </si>
  <si>
    <t>capacity</t>
  </si>
  <si>
    <t>P1,O</t>
  </si>
  <si>
    <t>P1,P2</t>
  </si>
  <si>
    <t>P-sessions</t>
  </si>
  <si>
    <t>O-sessions</t>
  </si>
  <si>
    <t>treated P1</t>
  </si>
  <si>
    <t>delayed P1</t>
  </si>
  <si>
    <t>treated P2</t>
  </si>
  <si>
    <t>delayed P2</t>
  </si>
  <si>
    <t>treated O</t>
  </si>
  <si>
    <t>delayed O</t>
  </si>
  <si>
    <t>treated P3</t>
  </si>
  <si>
    <t>delayed P3</t>
  </si>
  <si>
    <t>P3P3</t>
  </si>
  <si>
    <t>P2,P3</t>
  </si>
  <si>
    <t>P2,O</t>
  </si>
  <si>
    <t>O,P2</t>
  </si>
  <si>
    <t>P3</t>
  </si>
  <si>
    <t>p.s.(-2)</t>
  </si>
  <si>
    <t>o.s.(-2)</t>
  </si>
  <si>
    <t>p.s.(0)</t>
  </si>
  <si>
    <t>o.s.(0)</t>
  </si>
  <si>
    <t>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</si>
</sst>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1" x14ac:knownFonts="1">
    <font>
      <sz val="11"/>
      <color theme="1"/>
      <name val="Calibri"/>
      <family val="2"/>
      <scheme val="minor"/>
    </font>
    <font>
      <sz val="9"/>
      <color indexed="81"/>
      <name val="Tahoma"/>
      <family val="2"/>
    </font>
    <font>
      <b/>
      <sz val="9"/>
      <color indexed="81"/>
      <name val="Tahoma"/>
      <family val="2"/>
    </font>
    <font>
      <sz val="11"/>
      <color theme="1"/>
      <name val="Cambria"/>
      <family val="1"/>
      <scheme val="major"/>
    </font>
    <font>
      <b/>
      <sz val="11"/>
      <color theme="1"/>
      <name val="Calibri"/>
      <family val="2"/>
      <scheme val="minor"/>
    </font>
    <font>
      <b/>
      <sz val="11"/>
      <color rgb="FFC00000"/>
      <name val="Calibri"/>
      <family val="2"/>
      <scheme val="minor"/>
    </font>
    <font>
      <b/>
      <u/>
      <sz val="9"/>
      <color indexed="81"/>
      <name val="Tahoma"/>
      <family val="2"/>
    </font>
    <font>
      <b/>
      <sz val="11"/>
      <color rgb="FF0000FF"/>
      <name val="Calibri"/>
      <family val="2"/>
      <scheme val="minor"/>
    </font>
    <font>
      <sz val="11"/>
      <color rgb="FFFF0000"/>
      <name val="Calibri"/>
      <family val="2"/>
      <scheme val="minor"/>
    </font>
    <font>
      <b/>
      <sz val="11"/>
      <color rgb="FFFF0000"/>
      <name val="Calibri"/>
      <family val="2"/>
      <scheme val="minor"/>
    </font>
    <font>
      <b/>
      <i/>
      <sz val="11"/>
      <color rgb="FF0000FF"/>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FFCC"/>
        <bgColor indexed="64"/>
      </patternFill>
    </fill>
    <fill>
      <patternFill patternType="solid">
        <fgColor theme="6" tint="0.79998168889431442"/>
        <bgColor indexed="64"/>
      </patternFill>
    </fill>
  </fills>
  <borders count="1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41">
    <xf numFmtId="0" fontId="0" fillId="0" borderId="0" xfId="0"/>
    <xf numFmtId="0" fontId="3" fillId="0" borderId="0" xfId="0" applyFont="1"/>
    <xf numFmtId="0" fontId="4" fillId="2" borderId="0" xfId="0" applyFont="1" applyFill="1" applyAlignment="1">
      <alignment horizontal="right"/>
    </xf>
    <xf numFmtId="0" fontId="4" fillId="2" borderId="0" xfId="0" applyFont="1" applyFill="1" applyAlignment="1">
      <alignment horizontal="center"/>
    </xf>
    <xf numFmtId="0" fontId="0" fillId="0" borderId="0" xfId="0" applyAlignment="1">
      <alignment horizontal="right" indent="4"/>
    </xf>
    <xf numFmtId="0" fontId="4" fillId="2" borderId="0" xfId="0" applyFont="1" applyFill="1" applyAlignment="1">
      <alignment horizontal="right" indent="4"/>
    </xf>
    <xf numFmtId="0" fontId="4" fillId="2" borderId="0" xfId="0" applyFont="1" applyFill="1" applyAlignment="1">
      <alignment horizontal="left"/>
    </xf>
    <xf numFmtId="0" fontId="5" fillId="2" borderId="1" xfId="0" applyFont="1" applyFill="1" applyBorder="1" applyAlignment="1">
      <alignment horizontal="center"/>
    </xf>
    <xf numFmtId="0" fontId="5" fillId="2" borderId="2" xfId="0" applyFont="1" applyFill="1" applyBorder="1" applyAlignment="1">
      <alignment horizontal="center"/>
    </xf>
    <xf numFmtId="0" fontId="0" fillId="3" borderId="3" xfId="0" applyFill="1" applyBorder="1" applyAlignment="1">
      <alignment horizontal="right" indent="4"/>
    </xf>
    <xf numFmtId="0" fontId="0" fillId="3" borderId="4" xfId="0" applyFill="1" applyBorder="1" applyAlignment="1">
      <alignment horizontal="right" indent="4"/>
    </xf>
    <xf numFmtId="0" fontId="0" fillId="3" borderId="5" xfId="0" applyFill="1" applyBorder="1" applyAlignment="1">
      <alignment horizontal="right" indent="4"/>
    </xf>
    <xf numFmtId="0" fontId="0" fillId="3" borderId="6" xfId="0" applyFill="1" applyBorder="1" applyAlignment="1">
      <alignment horizontal="right" indent="4"/>
    </xf>
    <xf numFmtId="0" fontId="7" fillId="0" borderId="0" xfId="0" applyFont="1" applyAlignment="1">
      <alignment horizontal="right" indent="4"/>
    </xf>
    <xf numFmtId="0" fontId="7" fillId="0" borderId="0" xfId="0" applyFont="1"/>
    <xf numFmtId="2" fontId="7" fillId="0" borderId="0" xfId="0" applyNumberFormat="1" applyFont="1"/>
    <xf numFmtId="0" fontId="4" fillId="2" borderId="0" xfId="0" applyFont="1" applyFill="1" applyBorder="1" applyAlignment="1">
      <alignment horizontal="center"/>
    </xf>
    <xf numFmtId="0" fontId="4" fillId="2" borderId="0" xfId="0" applyFont="1" applyFill="1"/>
    <xf numFmtId="164" fontId="0" fillId="0" borderId="0" xfId="0" applyNumberFormat="1" applyAlignment="1">
      <alignment horizontal="right" indent="4"/>
    </xf>
    <xf numFmtId="0" fontId="0" fillId="0" borderId="0" xfId="0" applyAlignment="1">
      <alignment horizontal="left" vertical="center" indent="4"/>
    </xf>
    <xf numFmtId="2" fontId="8" fillId="0" borderId="0" xfId="0" applyNumberFormat="1" applyFont="1"/>
    <xf numFmtId="0" fontId="7" fillId="4" borderId="0" xfId="0" applyFont="1" applyFill="1" applyAlignment="1">
      <alignment horizontal="right" indent="4"/>
    </xf>
    <xf numFmtId="0" fontId="7" fillId="0" borderId="0" xfId="0" applyFont="1" applyFill="1" applyAlignment="1">
      <alignment horizontal="right" indent="4"/>
    </xf>
    <xf numFmtId="0" fontId="0" fillId="5" borderId="1" xfId="0" applyFill="1" applyBorder="1" applyAlignment="1">
      <alignment horizontal="right" indent="4"/>
    </xf>
    <xf numFmtId="0" fontId="0" fillId="5" borderId="2" xfId="0" applyFill="1" applyBorder="1" applyAlignment="1">
      <alignment horizontal="right" indent="4"/>
    </xf>
    <xf numFmtId="0" fontId="0" fillId="5" borderId="3" xfId="0" applyFill="1" applyBorder="1" applyAlignment="1">
      <alignment horizontal="right" indent="4"/>
    </xf>
    <xf numFmtId="0" fontId="0" fillId="5" borderId="4" xfId="0" applyFill="1" applyBorder="1" applyAlignment="1">
      <alignment horizontal="right" indent="4"/>
    </xf>
    <xf numFmtId="0" fontId="0" fillId="5" borderId="5" xfId="0" applyFill="1" applyBorder="1" applyAlignment="1">
      <alignment horizontal="right" indent="4"/>
    </xf>
    <xf numFmtId="0" fontId="0" fillId="5" borderId="6" xfId="0" applyFill="1" applyBorder="1" applyAlignment="1">
      <alignment horizontal="right" indent="4"/>
    </xf>
    <xf numFmtId="0" fontId="0" fillId="0" borderId="0" xfId="0" applyAlignment="1">
      <alignment wrapText="1"/>
    </xf>
    <xf numFmtId="0" fontId="0" fillId="6" borderId="7" xfId="0" applyFill="1" applyBorder="1"/>
    <xf numFmtId="0" fontId="0" fillId="6" borderId="8" xfId="0" applyFill="1" applyBorder="1"/>
    <xf numFmtId="0" fontId="0" fillId="6" borderId="8" xfId="0" applyFill="1" applyBorder="1" applyAlignment="1">
      <alignment wrapText="1"/>
    </xf>
    <xf numFmtId="0" fontId="0" fillId="6" borderId="9" xfId="0" applyFill="1" applyBorder="1"/>
    <xf numFmtId="0" fontId="9" fillId="0" borderId="0" xfId="0" applyFont="1" applyFill="1" applyAlignment="1">
      <alignment horizontal="right" indent="4"/>
    </xf>
    <xf numFmtId="0" fontId="9" fillId="0" borderId="0" xfId="0" applyFont="1" applyAlignment="1">
      <alignment horizontal="right" indent="4"/>
    </xf>
    <xf numFmtId="0" fontId="8" fillId="0" borderId="0" xfId="0" applyFont="1" applyAlignment="1">
      <alignment horizontal="right" indent="4"/>
    </xf>
    <xf numFmtId="0" fontId="10" fillId="3" borderId="1" xfId="0" applyFont="1" applyFill="1" applyBorder="1" applyAlignment="1">
      <alignment horizontal="right" indent="4"/>
    </xf>
    <xf numFmtId="0" fontId="10" fillId="3" borderId="2" xfId="0" applyFont="1" applyFill="1" applyBorder="1" applyAlignment="1">
      <alignment horizontal="right" indent="4"/>
    </xf>
    <xf numFmtId="0" fontId="10" fillId="3" borderId="3" xfId="0" applyFont="1" applyFill="1" applyBorder="1" applyAlignment="1">
      <alignment horizontal="right" indent="4"/>
    </xf>
    <xf numFmtId="0" fontId="10" fillId="3" borderId="4" xfId="0" applyFont="1" applyFill="1" applyBorder="1" applyAlignment="1">
      <alignment horizontal="right" indent="4"/>
    </xf>
  </cellXfs>
  <cellStyles count="1">
    <cellStyle name="Normal" xfId="0" builtinId="0"/>
  </cellStyles>
  <dxfs count="0"/>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582347</xdr:colOff>
      <xdr:row>5</xdr:row>
      <xdr:rowOff>159424</xdr:rowOff>
    </xdr:from>
    <xdr:to>
      <xdr:col>15</xdr:col>
      <xdr:colOff>154964</xdr:colOff>
      <xdr:row>25</xdr:row>
      <xdr:rowOff>51212</xdr:rowOff>
    </xdr:to>
    <xdr:grpSp>
      <xdr:nvGrpSpPr>
        <xdr:cNvPr id="8" name="Group 7"/>
        <xdr:cNvGrpSpPr/>
      </xdr:nvGrpSpPr>
      <xdr:grpSpPr>
        <a:xfrm>
          <a:off x="5301704" y="1123130"/>
          <a:ext cx="4938554" cy="3701788"/>
          <a:chOff x="5686006" y="832843"/>
          <a:chExt cx="4447710" cy="3582078"/>
        </a:xfrm>
      </xdr:grpSpPr>
      <xdr:pic>
        <xdr:nvPicPr>
          <xdr:cNvPr id="5" name="Picture 4"/>
          <xdr:cNvPicPr>
            <a:picLocks noChangeAspect="1"/>
          </xdr:cNvPicPr>
        </xdr:nvPicPr>
        <xdr:blipFill>
          <a:blip xmlns:r="http://schemas.openxmlformats.org/officeDocument/2006/relationships" r:embed="rId1"/>
          <a:stretch>
            <a:fillRect/>
          </a:stretch>
        </xdr:blipFill>
        <xdr:spPr>
          <a:xfrm>
            <a:off x="5844897" y="832843"/>
            <a:ext cx="4136114" cy="2086049"/>
          </a:xfrm>
          <a:prstGeom prst="rect">
            <a:avLst/>
          </a:prstGeom>
        </xdr:spPr>
      </xdr:pic>
      <xdr:pic>
        <xdr:nvPicPr>
          <xdr:cNvPr id="7" name="Picture 6"/>
          <xdr:cNvPicPr>
            <a:picLocks noChangeAspect="1"/>
          </xdr:cNvPicPr>
        </xdr:nvPicPr>
        <xdr:blipFill>
          <a:blip xmlns:r="http://schemas.openxmlformats.org/officeDocument/2006/relationships" r:embed="rId2"/>
          <a:stretch>
            <a:fillRect/>
          </a:stretch>
        </xdr:blipFill>
        <xdr:spPr>
          <a:xfrm>
            <a:off x="5686006" y="2914953"/>
            <a:ext cx="4447710" cy="1499968"/>
          </a:xfrm>
          <a:prstGeom prst="rect">
            <a:avLst/>
          </a:prstGeom>
        </xdr:spPr>
      </xdr:pic>
    </xdr:grpSp>
    <xdr:clientData/>
  </xdr:twoCellAnchor>
  <xdr:twoCellAnchor editAs="oneCell">
    <xdr:from>
      <xdr:col>20</xdr:col>
      <xdr:colOff>250372</xdr:colOff>
      <xdr:row>14</xdr:row>
      <xdr:rowOff>672</xdr:rowOff>
    </xdr:from>
    <xdr:to>
      <xdr:col>28</xdr:col>
      <xdr:colOff>272976</xdr:colOff>
      <xdr:row>41</xdr:row>
      <xdr:rowOff>149797</xdr:rowOff>
    </xdr:to>
    <xdr:pic>
      <xdr:nvPicPr>
        <xdr:cNvPr id="9" name="Picture 8"/>
        <xdr:cNvPicPr>
          <a:picLocks noChangeAspect="1"/>
        </xdr:cNvPicPr>
      </xdr:nvPicPr>
      <xdr:blipFill>
        <a:blip xmlns:r="http://schemas.openxmlformats.org/officeDocument/2006/relationships" r:embed="rId3"/>
        <a:stretch>
          <a:fillRect/>
        </a:stretch>
      </xdr:blipFill>
      <xdr:spPr>
        <a:xfrm>
          <a:off x="12578445" y="2572422"/>
          <a:ext cx="5084458" cy="5108929"/>
        </a:xfrm>
        <a:prstGeom prst="rect">
          <a:avLst/>
        </a:prstGeom>
      </xdr:spPr>
    </xdr:pic>
    <xdr:clientData/>
  </xdr:twoCellAnchor>
  <xdr:oneCellAnchor>
    <xdr:from>
      <xdr:col>10</xdr:col>
      <xdr:colOff>433827</xdr:colOff>
      <xdr:row>26</xdr:row>
      <xdr:rowOff>94321</xdr:rowOff>
    </xdr:from>
    <xdr:ext cx="3784387" cy="6746206"/>
    <xdr:sp macro="" textlink="">
      <xdr:nvSpPr>
        <xdr:cNvPr id="10" name="TextBox 9"/>
        <xdr:cNvSpPr txBox="1"/>
      </xdr:nvSpPr>
      <xdr:spPr>
        <a:xfrm>
          <a:off x="6877209" y="5058527"/>
          <a:ext cx="3784387" cy="67462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i="1" baseline="0">
              <a:solidFill>
                <a:srgbClr val="C00000"/>
              </a:solidFill>
              <a:effectLst/>
              <a:latin typeface="MV Boli" panose="02000500030200090000" pitchFamily="2" charset="0"/>
              <a:ea typeface="+mn-ea"/>
              <a:cs typeface="MV Boli" panose="02000500030200090000" pitchFamily="2" charset="0"/>
            </a:rPr>
            <a:t>You must book sessions, two weeks in advance. AT THE BEGINNING OF A WEEK, YOU CANNOT ADD SESSIONS (ONLY CANCEL OR CHANGE)! So the sum of the yellow sessions cannot exceed the red sessions. </a:t>
          </a:r>
          <a:endParaRPr lang="en-US" sz="2000" b="1">
            <a:solidFill>
              <a:srgbClr val="C00000"/>
            </a:solidFill>
            <a:effectLst/>
            <a:latin typeface="MV Boli" panose="02000500030200090000" pitchFamily="2" charset="0"/>
            <a:cs typeface="MV Boli" panose="02000500030200090000" pitchFamily="2" charset="0"/>
          </a:endParaRPr>
        </a:p>
        <a:p>
          <a:r>
            <a:rPr lang="en-US" sz="1400" b="1" i="1">
              <a:solidFill>
                <a:srgbClr val="C00000"/>
              </a:solidFill>
              <a:latin typeface="MV Boli" panose="02000500030200090000" pitchFamily="2" charset="0"/>
              <a:cs typeface="MV Boli" panose="02000500030200090000" pitchFamily="2" charset="0"/>
            </a:rPr>
            <a:t>The red column is the preliminary decision from two weeks in advance for that week. The yellow column is the final and executed decision. Cost should be calculated based on the yellow column and how it changed from the red column. The gray columns and cells are fixed and will not change in the process. The white cells</a:t>
          </a:r>
          <a:r>
            <a:rPr lang="en-US" sz="1400" b="1" i="1" baseline="0">
              <a:solidFill>
                <a:srgbClr val="C00000"/>
              </a:solidFill>
              <a:latin typeface="MV Boli" panose="02000500030200090000" pitchFamily="2" charset="0"/>
              <a:cs typeface="MV Boli" panose="02000500030200090000" pitchFamily="2" charset="0"/>
            </a:rPr>
            <a:t> may change as new patients will be added to them from prior weeks (not just last week). You should come up with </a:t>
          </a:r>
          <a:r>
            <a:rPr lang="en-US" sz="1400" b="1" i="1" u="sng" baseline="0">
              <a:solidFill>
                <a:srgbClr val="C00000"/>
              </a:solidFill>
              <a:latin typeface="MV Boli" panose="02000500030200090000" pitchFamily="2" charset="0"/>
              <a:cs typeface="MV Boli" panose="02000500030200090000" pitchFamily="2" charset="0"/>
            </a:rPr>
            <a:t>rules</a:t>
          </a:r>
          <a:r>
            <a:rPr lang="en-US" sz="1400" b="1" i="1" baseline="0">
              <a:solidFill>
                <a:srgbClr val="C00000"/>
              </a:solidFill>
              <a:latin typeface="MV Boli" panose="02000500030200090000" pitchFamily="2" charset="0"/>
              <a:cs typeface="MV Boli" panose="02000500030200090000" pitchFamily="2" charset="0"/>
            </a:rPr>
            <a:t> for the two weeks in advance decisions (red columns) and the same week adjustments (yellow columns) that are </a:t>
          </a:r>
          <a:r>
            <a:rPr lang="en-US" sz="1400" b="1" i="1" u="sng" baseline="0">
              <a:solidFill>
                <a:srgbClr val="C00000"/>
              </a:solidFill>
              <a:latin typeface="MV Boli" panose="02000500030200090000" pitchFamily="2" charset="0"/>
              <a:cs typeface="MV Boli" panose="02000500030200090000" pitchFamily="2" charset="0"/>
            </a:rPr>
            <a:t>consistently</a:t>
          </a:r>
          <a:r>
            <a:rPr lang="en-US" sz="1400" b="1" i="1" baseline="0">
              <a:solidFill>
                <a:srgbClr val="C00000"/>
              </a:solidFill>
              <a:latin typeface="MV Boli" panose="02000500030200090000" pitchFamily="2" charset="0"/>
              <a:cs typeface="MV Boli" panose="02000500030200090000" pitchFamily="2" charset="0"/>
            </a:rPr>
            <a:t> applied week-by-week. </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C55"/>
  <sheetViews>
    <sheetView tabSelected="1" zoomScale="85" zoomScaleNormal="85" workbookViewId="0">
      <selection activeCell="G4" sqref="G4:H4"/>
    </sheetView>
  </sheetViews>
  <sheetFormatPr defaultRowHeight="15" x14ac:dyDescent="0.25"/>
  <cols>
    <col min="1" max="1" width="9.42578125" style="4" customWidth="1"/>
    <col min="2" max="3" width="11.7109375" style="4" customWidth="1"/>
    <col min="4" max="5" width="9.7109375" style="4" customWidth="1"/>
    <col min="6" max="6" width="9.85546875" style="4" customWidth="1"/>
    <col min="7" max="10" width="8.5703125" style="4" customWidth="1"/>
    <col min="11" max="19" width="10.85546875" style="4" customWidth="1"/>
  </cols>
  <sheetData>
    <row r="1" spans="1:29" ht="15.75" thickBot="1" x14ac:dyDescent="0.3">
      <c r="A1" s="6" t="s">
        <v>2</v>
      </c>
      <c r="B1" s="5" t="s">
        <v>3</v>
      </c>
      <c r="C1" s="5" t="s">
        <v>0</v>
      </c>
      <c r="D1" s="5" t="s">
        <v>1</v>
      </c>
      <c r="E1" s="5" t="s">
        <v>22</v>
      </c>
      <c r="F1" s="3" t="s">
        <v>5</v>
      </c>
      <c r="G1" s="7" t="s">
        <v>24</v>
      </c>
      <c r="H1" s="8" t="s">
        <v>23</v>
      </c>
      <c r="I1" s="7" t="s">
        <v>26</v>
      </c>
      <c r="J1" s="8" t="s">
        <v>25</v>
      </c>
      <c r="K1" s="16" t="s">
        <v>27</v>
      </c>
      <c r="L1" s="16" t="s">
        <v>14</v>
      </c>
      <c r="M1" s="16" t="s">
        <v>15</v>
      </c>
      <c r="N1" s="16" t="s">
        <v>10</v>
      </c>
      <c r="O1" s="16" t="s">
        <v>11</v>
      </c>
      <c r="P1" s="16" t="s">
        <v>12</v>
      </c>
      <c r="Q1" s="16" t="s">
        <v>13</v>
      </c>
      <c r="R1" s="16" t="s">
        <v>16</v>
      </c>
      <c r="S1" s="16" t="s">
        <v>17</v>
      </c>
    </row>
    <row r="2" spans="1:29" x14ac:dyDescent="0.25">
      <c r="A2" s="5">
        <v>1</v>
      </c>
      <c r="B2" s="21">
        <v>23</v>
      </c>
      <c r="C2" s="21">
        <v>30</v>
      </c>
      <c r="D2" s="21">
        <v>19</v>
      </c>
      <c r="E2" s="21">
        <v>11</v>
      </c>
      <c r="F2" s="21">
        <v>18</v>
      </c>
      <c r="G2" s="37">
        <v>11</v>
      </c>
      <c r="H2" s="38">
        <v>7</v>
      </c>
      <c r="I2" s="23">
        <v>8</v>
      </c>
      <c r="J2" s="24">
        <v>4</v>
      </c>
      <c r="K2" s="30">
        <f>100*G2+50*H2+ (G2-I2)*(-50)+(H2-J2)*(-30)</f>
        <v>1210</v>
      </c>
      <c r="L2">
        <f>MIN(B2,AC6*I2)</f>
        <v>23</v>
      </c>
      <c r="M2">
        <f>B2-L2</f>
        <v>0</v>
      </c>
      <c r="N2">
        <f>MIN(C2,AC4*J2)</f>
        <v>30</v>
      </c>
      <c r="O2">
        <f>C2-N2</f>
        <v>0</v>
      </c>
      <c r="P2">
        <f>MIN(D2,J2*AC4-N2)</f>
        <v>19</v>
      </c>
      <c r="Q2">
        <f>D2-P2</f>
        <v>0</v>
      </c>
      <c r="R2">
        <f>MIN(E2,J2*AC4-N2-P2)</f>
        <v>11</v>
      </c>
      <c r="S2">
        <f>E2-R2</f>
        <v>0</v>
      </c>
    </row>
    <row r="3" spans="1:29" x14ac:dyDescent="0.25">
      <c r="A3" s="5">
        <f>A2+1</f>
        <v>2</v>
      </c>
      <c r="B3" s="34">
        <f>22+0.05*N2</f>
        <v>23.5</v>
      </c>
      <c r="C3" s="21">
        <v>60</v>
      </c>
      <c r="D3" s="35">
        <f>25+0.1*L2</f>
        <v>27.3</v>
      </c>
      <c r="E3" s="13">
        <v>17</v>
      </c>
      <c r="F3" s="21">
        <v>18</v>
      </c>
      <c r="G3" s="39">
        <v>11</v>
      </c>
      <c r="H3" s="40">
        <v>7</v>
      </c>
      <c r="I3" s="25"/>
      <c r="J3" s="26"/>
      <c r="K3" s="31"/>
      <c r="L3"/>
      <c r="M3"/>
      <c r="N3"/>
      <c r="O3"/>
      <c r="P3"/>
      <c r="Q3"/>
      <c r="R3"/>
      <c r="S3"/>
      <c r="U3" s="2" t="s">
        <v>4</v>
      </c>
      <c r="V3" s="2" t="s">
        <v>6</v>
      </c>
      <c r="W3" s="2" t="s">
        <v>7</v>
      </c>
      <c r="X3" s="2" t="s">
        <v>21</v>
      </c>
      <c r="Y3" s="2" t="s">
        <v>20</v>
      </c>
      <c r="Z3" s="2" t="s">
        <v>19</v>
      </c>
      <c r="AA3" s="2" t="s">
        <v>18</v>
      </c>
      <c r="AC3" t="s">
        <v>8</v>
      </c>
    </row>
    <row r="4" spans="1:29" x14ac:dyDescent="0.25">
      <c r="A4" s="5">
        <f t="shared" ref="A4:A52" si="0">A3+1</f>
        <v>3</v>
      </c>
      <c r="B4" s="34">
        <f>28+0.1*N2</f>
        <v>31</v>
      </c>
      <c r="C4" s="21">
        <v>53</v>
      </c>
      <c r="D4" s="35">
        <f>15+0.1*N2+0.2*L2</f>
        <v>22.6</v>
      </c>
      <c r="E4" s="13">
        <v>8</v>
      </c>
      <c r="F4" s="21">
        <v>30</v>
      </c>
      <c r="G4" s="9"/>
      <c r="H4" s="10"/>
      <c r="I4" s="25"/>
      <c r="J4" s="26"/>
      <c r="K4" s="31"/>
      <c r="L4"/>
      <c r="M4"/>
      <c r="N4"/>
      <c r="O4"/>
      <c r="P4"/>
      <c r="Q4"/>
      <c r="R4"/>
      <c r="S4"/>
      <c r="U4" s="17">
        <v>1</v>
      </c>
      <c r="V4" s="15">
        <v>0.05</v>
      </c>
      <c r="W4" s="15">
        <v>0</v>
      </c>
      <c r="X4" s="15">
        <v>0.1</v>
      </c>
      <c r="Y4" s="15">
        <v>0</v>
      </c>
      <c r="Z4" s="15">
        <v>0</v>
      </c>
      <c r="AA4" s="15">
        <v>0</v>
      </c>
      <c r="AC4" s="14">
        <v>16</v>
      </c>
    </row>
    <row r="5" spans="1:29" x14ac:dyDescent="0.25">
      <c r="A5" s="5">
        <f t="shared" si="0"/>
        <v>4</v>
      </c>
      <c r="B5" s="22">
        <v>24</v>
      </c>
      <c r="C5" s="21">
        <v>44</v>
      </c>
      <c r="D5" s="13">
        <v>10</v>
      </c>
      <c r="E5" s="13">
        <v>14</v>
      </c>
      <c r="F5" s="21">
        <v>30</v>
      </c>
      <c r="G5" s="9"/>
      <c r="H5" s="10"/>
      <c r="I5" s="25"/>
      <c r="J5" s="26"/>
      <c r="K5" s="31"/>
      <c r="L5"/>
      <c r="M5"/>
      <c r="N5"/>
      <c r="O5"/>
      <c r="P5"/>
      <c r="Q5"/>
      <c r="R5"/>
      <c r="S5"/>
      <c r="U5" s="17">
        <v>2</v>
      </c>
      <c r="V5" s="15">
        <v>0.1</v>
      </c>
      <c r="W5" s="15">
        <v>0.1</v>
      </c>
      <c r="X5" s="15">
        <v>0.2</v>
      </c>
      <c r="Y5" s="15">
        <v>0.1</v>
      </c>
      <c r="Z5" s="15">
        <v>0</v>
      </c>
      <c r="AA5" s="15">
        <v>0</v>
      </c>
      <c r="AC5" t="s">
        <v>9</v>
      </c>
    </row>
    <row r="6" spans="1:29" x14ac:dyDescent="0.25">
      <c r="A6" s="5">
        <f t="shared" si="0"/>
        <v>5</v>
      </c>
      <c r="B6" s="34">
        <f>28+0.1*N2</f>
        <v>31</v>
      </c>
      <c r="C6" s="21">
        <v>59</v>
      </c>
      <c r="D6" s="35">
        <f>9+0.1*N2+0.4*L2</f>
        <v>21.200000000000003</v>
      </c>
      <c r="E6" s="13">
        <v>9</v>
      </c>
      <c r="F6" s="21">
        <v>24</v>
      </c>
      <c r="G6" s="9"/>
      <c r="H6" s="10"/>
      <c r="I6" s="25"/>
      <c r="J6" s="26"/>
      <c r="K6" s="31"/>
      <c r="L6"/>
      <c r="M6"/>
      <c r="N6"/>
      <c r="O6"/>
      <c r="P6"/>
      <c r="Q6"/>
      <c r="R6"/>
      <c r="S6"/>
      <c r="U6" s="17">
        <v>3</v>
      </c>
      <c r="V6" s="15">
        <v>0</v>
      </c>
      <c r="W6" s="15">
        <v>0</v>
      </c>
      <c r="X6" s="15">
        <v>0</v>
      </c>
      <c r="Y6" s="15">
        <v>0</v>
      </c>
      <c r="Z6" s="15">
        <v>0</v>
      </c>
      <c r="AA6" s="15">
        <v>0</v>
      </c>
      <c r="AC6" s="14">
        <v>3</v>
      </c>
    </row>
    <row r="7" spans="1:29" x14ac:dyDescent="0.25">
      <c r="A7" s="5">
        <f t="shared" si="0"/>
        <v>6</v>
      </c>
      <c r="B7" s="22">
        <v>16</v>
      </c>
      <c r="C7" s="21">
        <v>39</v>
      </c>
      <c r="D7" s="13">
        <v>7</v>
      </c>
      <c r="E7" s="13">
        <v>7</v>
      </c>
      <c r="F7" s="21">
        <v>18</v>
      </c>
      <c r="G7" s="9"/>
      <c r="H7" s="10"/>
      <c r="I7" s="25"/>
      <c r="J7" s="26"/>
      <c r="K7" s="31"/>
      <c r="L7"/>
      <c r="M7"/>
      <c r="N7"/>
      <c r="O7"/>
      <c r="P7"/>
      <c r="Q7"/>
      <c r="R7"/>
      <c r="S7"/>
      <c r="U7" s="17">
        <v>4</v>
      </c>
      <c r="V7" s="15">
        <v>0.1</v>
      </c>
      <c r="W7" s="15">
        <v>0.1</v>
      </c>
      <c r="X7" s="15">
        <v>0.4</v>
      </c>
      <c r="Y7" s="15">
        <v>0.05</v>
      </c>
      <c r="Z7" s="15">
        <v>0.25</v>
      </c>
      <c r="AA7" s="15">
        <v>0</v>
      </c>
    </row>
    <row r="8" spans="1:29" x14ac:dyDescent="0.25">
      <c r="A8" s="5">
        <f t="shared" si="0"/>
        <v>7</v>
      </c>
      <c r="B8" s="34">
        <f>20+0.05*N2</f>
        <v>21.5</v>
      </c>
      <c r="C8" s="21">
        <v>54</v>
      </c>
      <c r="D8" s="35">
        <f>10+0.05*N2</f>
        <v>11.5</v>
      </c>
      <c r="E8" s="13">
        <v>7</v>
      </c>
      <c r="F8" s="21">
        <v>12</v>
      </c>
      <c r="G8" s="9"/>
      <c r="H8" s="10"/>
      <c r="I8" s="25"/>
      <c r="J8" s="26"/>
      <c r="K8" s="31"/>
      <c r="L8"/>
      <c r="M8"/>
      <c r="N8"/>
      <c r="O8"/>
      <c r="P8"/>
      <c r="Q8"/>
      <c r="R8"/>
      <c r="S8"/>
      <c r="U8" s="17">
        <v>5</v>
      </c>
      <c r="V8" s="15">
        <v>0</v>
      </c>
      <c r="W8" s="15">
        <v>0</v>
      </c>
      <c r="X8" s="15">
        <v>0</v>
      </c>
      <c r="Y8" s="15">
        <v>0</v>
      </c>
      <c r="Z8" s="15">
        <v>0</v>
      </c>
      <c r="AA8" s="15">
        <v>0</v>
      </c>
    </row>
    <row r="9" spans="1:29" x14ac:dyDescent="0.25">
      <c r="A9" s="5">
        <f t="shared" si="0"/>
        <v>8</v>
      </c>
      <c r="B9" s="22">
        <v>13</v>
      </c>
      <c r="C9" s="21">
        <v>44</v>
      </c>
      <c r="D9" s="13">
        <v>4</v>
      </c>
      <c r="E9" s="13">
        <v>2</v>
      </c>
      <c r="F9" s="21">
        <v>18</v>
      </c>
      <c r="G9" s="9"/>
      <c r="H9" s="10"/>
      <c r="I9" s="25"/>
      <c r="J9" s="26"/>
      <c r="K9" s="31"/>
      <c r="L9"/>
      <c r="M9"/>
      <c r="N9"/>
      <c r="O9"/>
      <c r="P9"/>
      <c r="Q9"/>
      <c r="R9"/>
      <c r="S9"/>
      <c r="U9" s="17">
        <v>6</v>
      </c>
      <c r="V9" s="15">
        <v>0.05</v>
      </c>
      <c r="W9" s="15">
        <v>0.05</v>
      </c>
      <c r="X9" s="15">
        <v>0.2</v>
      </c>
      <c r="Y9" s="15">
        <v>0</v>
      </c>
      <c r="Z9" s="15">
        <v>0.2</v>
      </c>
      <c r="AA9" s="15">
        <v>0.1</v>
      </c>
      <c r="AC9" s="1"/>
    </row>
    <row r="10" spans="1:29" x14ac:dyDescent="0.25">
      <c r="A10" s="5">
        <f t="shared" si="0"/>
        <v>9</v>
      </c>
      <c r="B10" s="22">
        <v>8</v>
      </c>
      <c r="C10" s="21">
        <v>39</v>
      </c>
      <c r="D10" s="36">
        <f>0.2*N2</f>
        <v>6</v>
      </c>
      <c r="F10" s="21">
        <v>18</v>
      </c>
      <c r="G10" s="9"/>
      <c r="H10" s="10"/>
      <c r="I10" s="25"/>
      <c r="J10" s="26"/>
      <c r="K10" s="31"/>
      <c r="L10"/>
      <c r="M10"/>
      <c r="N10"/>
      <c r="O10"/>
      <c r="P10"/>
      <c r="Q10"/>
      <c r="R10"/>
      <c r="S10"/>
      <c r="U10" s="17">
        <v>7</v>
      </c>
      <c r="V10" s="15">
        <v>0</v>
      </c>
      <c r="W10" s="15">
        <v>0</v>
      </c>
      <c r="X10" s="15">
        <v>0</v>
      </c>
      <c r="Y10" s="15">
        <v>0</v>
      </c>
      <c r="Z10" s="15">
        <v>0</v>
      </c>
      <c r="AA10" s="15">
        <v>0</v>
      </c>
      <c r="AC10" s="1"/>
    </row>
    <row r="11" spans="1:29" x14ac:dyDescent="0.25">
      <c r="A11" s="5">
        <f t="shared" si="0"/>
        <v>10</v>
      </c>
      <c r="B11" s="22">
        <v>18</v>
      </c>
      <c r="C11" s="21">
        <v>38</v>
      </c>
      <c r="F11" s="21">
        <v>24</v>
      </c>
      <c r="G11" s="9"/>
      <c r="H11" s="10"/>
      <c r="I11" s="25"/>
      <c r="J11" s="26"/>
      <c r="K11" s="31"/>
      <c r="L11"/>
      <c r="M11"/>
      <c r="N11"/>
      <c r="O11"/>
      <c r="P11"/>
      <c r="Q11"/>
      <c r="R11"/>
      <c r="S11"/>
      <c r="U11" s="17">
        <v>8</v>
      </c>
      <c r="V11" s="15">
        <v>0</v>
      </c>
      <c r="W11" s="15">
        <v>0.2</v>
      </c>
      <c r="X11" s="15">
        <v>0.1</v>
      </c>
      <c r="Y11" s="15">
        <v>0</v>
      </c>
      <c r="Z11" s="15">
        <v>0.1</v>
      </c>
      <c r="AA11" s="15">
        <v>0.2</v>
      </c>
      <c r="AC11" s="1"/>
    </row>
    <row r="12" spans="1:29" x14ac:dyDescent="0.25">
      <c r="A12" s="5">
        <f t="shared" si="0"/>
        <v>11</v>
      </c>
      <c r="B12" s="22">
        <v>8</v>
      </c>
      <c r="C12" s="21">
        <v>43</v>
      </c>
      <c r="F12" s="21">
        <v>30</v>
      </c>
      <c r="G12" s="9"/>
      <c r="H12" s="10"/>
      <c r="I12" s="25"/>
      <c r="J12" s="26"/>
      <c r="K12" s="31"/>
      <c r="L12"/>
      <c r="M12"/>
      <c r="N12"/>
      <c r="O12"/>
      <c r="P12"/>
      <c r="Q12"/>
      <c r="R12"/>
      <c r="S12"/>
      <c r="V12" s="15"/>
      <c r="W12" s="15"/>
      <c r="X12" s="15"/>
      <c r="Y12" s="15"/>
      <c r="Z12" s="15"/>
      <c r="AA12" s="15"/>
    </row>
    <row r="13" spans="1:29" x14ac:dyDescent="0.25">
      <c r="A13" s="5">
        <f t="shared" si="0"/>
        <v>12</v>
      </c>
      <c r="B13" s="22">
        <v>14</v>
      </c>
      <c r="C13" s="21">
        <v>53</v>
      </c>
      <c r="F13" s="21">
        <v>30</v>
      </c>
      <c r="G13" s="9"/>
      <c r="H13" s="10"/>
      <c r="I13" s="25"/>
      <c r="J13" s="26"/>
      <c r="K13" s="31"/>
      <c r="L13"/>
      <c r="M13"/>
      <c r="N13"/>
      <c r="O13"/>
      <c r="P13"/>
      <c r="Q13"/>
      <c r="R13"/>
      <c r="S13"/>
      <c r="V13" s="20">
        <f t="shared" ref="V13:AA13" si="1">SUM(V4:V11)</f>
        <v>0.3</v>
      </c>
      <c r="W13" s="20">
        <f t="shared" si="1"/>
        <v>0.45</v>
      </c>
      <c r="X13" s="20">
        <f t="shared" si="1"/>
        <v>1.0000000000000002</v>
      </c>
      <c r="Y13" s="20">
        <f t="shared" si="1"/>
        <v>0.15000000000000002</v>
      </c>
      <c r="Z13" s="20">
        <f t="shared" si="1"/>
        <v>0.55000000000000004</v>
      </c>
      <c r="AA13" s="20">
        <f t="shared" si="1"/>
        <v>0.30000000000000004</v>
      </c>
    </row>
    <row r="14" spans="1:29" x14ac:dyDescent="0.25">
      <c r="A14" s="5">
        <f t="shared" si="0"/>
        <v>13</v>
      </c>
      <c r="B14" s="22">
        <v>15</v>
      </c>
      <c r="C14" s="21">
        <v>33</v>
      </c>
      <c r="F14" s="21">
        <v>24</v>
      </c>
      <c r="G14" s="9"/>
      <c r="H14" s="10"/>
      <c r="I14" s="25"/>
      <c r="J14" s="26"/>
      <c r="K14" s="31"/>
      <c r="L14"/>
      <c r="M14"/>
      <c r="N14"/>
      <c r="O14"/>
      <c r="P14"/>
      <c r="Q14"/>
      <c r="R14"/>
      <c r="S14"/>
    </row>
    <row r="15" spans="1:29" x14ac:dyDescent="0.25">
      <c r="A15" s="5">
        <f t="shared" si="0"/>
        <v>14</v>
      </c>
      <c r="B15" s="22">
        <v>10</v>
      </c>
      <c r="C15" s="21">
        <v>40</v>
      </c>
      <c r="F15" s="21">
        <v>30</v>
      </c>
      <c r="G15" s="9"/>
      <c r="H15" s="10"/>
      <c r="I15" s="25"/>
      <c r="J15" s="26"/>
      <c r="K15" s="31"/>
      <c r="L15"/>
      <c r="M15"/>
      <c r="N15"/>
      <c r="O15"/>
      <c r="P15"/>
      <c r="Q15"/>
      <c r="R15"/>
      <c r="S15"/>
    </row>
    <row r="16" spans="1:29" x14ac:dyDescent="0.25">
      <c r="A16" s="5">
        <f t="shared" si="0"/>
        <v>15</v>
      </c>
      <c r="B16" s="22">
        <v>17</v>
      </c>
      <c r="C16" s="21">
        <v>49</v>
      </c>
      <c r="F16" s="21">
        <v>30</v>
      </c>
      <c r="G16" s="9"/>
      <c r="H16" s="10"/>
      <c r="I16" s="25"/>
      <c r="J16" s="26"/>
      <c r="K16" s="31"/>
      <c r="L16"/>
      <c r="M16"/>
      <c r="N16"/>
      <c r="O16"/>
      <c r="P16"/>
      <c r="Q16"/>
      <c r="R16"/>
      <c r="S16"/>
    </row>
    <row r="17" spans="1:19" x14ac:dyDescent="0.25">
      <c r="A17" s="5">
        <f t="shared" si="0"/>
        <v>16</v>
      </c>
      <c r="B17" s="22">
        <v>21</v>
      </c>
      <c r="C17" s="21">
        <v>36</v>
      </c>
      <c r="F17" s="21">
        <v>24</v>
      </c>
      <c r="G17" s="9"/>
      <c r="H17" s="10"/>
      <c r="I17" s="25"/>
      <c r="J17" s="26"/>
      <c r="K17" s="31"/>
      <c r="L17"/>
      <c r="M17"/>
      <c r="N17"/>
      <c r="O17"/>
      <c r="P17"/>
      <c r="Q17"/>
      <c r="R17"/>
      <c r="S17"/>
    </row>
    <row r="18" spans="1:19" x14ac:dyDescent="0.25">
      <c r="A18" s="5">
        <f t="shared" si="0"/>
        <v>17</v>
      </c>
      <c r="B18" s="22">
        <v>8</v>
      </c>
      <c r="C18" s="21">
        <v>56</v>
      </c>
      <c r="F18" s="21">
        <v>30</v>
      </c>
      <c r="G18" s="9"/>
      <c r="H18" s="10"/>
      <c r="I18" s="25"/>
      <c r="J18" s="26"/>
      <c r="K18" s="31"/>
      <c r="L18"/>
      <c r="M18"/>
      <c r="N18"/>
      <c r="O18"/>
      <c r="P18"/>
      <c r="Q18"/>
      <c r="R18"/>
      <c r="S18"/>
    </row>
    <row r="19" spans="1:19" x14ac:dyDescent="0.25">
      <c r="A19" s="5">
        <f t="shared" si="0"/>
        <v>18</v>
      </c>
      <c r="B19" s="22">
        <v>12</v>
      </c>
      <c r="C19" s="21">
        <v>54</v>
      </c>
      <c r="F19" s="21">
        <v>18</v>
      </c>
      <c r="G19" s="9"/>
      <c r="H19" s="10"/>
      <c r="I19" s="25"/>
      <c r="J19" s="26"/>
      <c r="K19" s="31"/>
      <c r="L19"/>
      <c r="M19"/>
      <c r="N19"/>
      <c r="O19"/>
      <c r="P19"/>
      <c r="Q19"/>
      <c r="R19"/>
      <c r="S19"/>
    </row>
    <row r="20" spans="1:19" x14ac:dyDescent="0.25">
      <c r="A20" s="5">
        <f t="shared" si="0"/>
        <v>19</v>
      </c>
      <c r="B20" s="22">
        <v>15</v>
      </c>
      <c r="C20" s="21">
        <v>46</v>
      </c>
      <c r="F20" s="21">
        <v>18</v>
      </c>
      <c r="G20" s="9"/>
      <c r="H20" s="10"/>
      <c r="I20" s="25"/>
      <c r="J20" s="26"/>
      <c r="K20" s="31"/>
      <c r="L20"/>
      <c r="M20"/>
      <c r="N20"/>
      <c r="O20"/>
      <c r="P20"/>
      <c r="Q20"/>
      <c r="R20"/>
      <c r="S20"/>
    </row>
    <row r="21" spans="1:19" x14ac:dyDescent="0.25">
      <c r="A21" s="5">
        <f t="shared" si="0"/>
        <v>20</v>
      </c>
      <c r="B21" s="22">
        <v>10</v>
      </c>
      <c r="C21" s="21">
        <v>47</v>
      </c>
      <c r="F21" s="21">
        <v>24</v>
      </c>
      <c r="G21" s="9"/>
      <c r="H21" s="10"/>
      <c r="I21" s="25"/>
      <c r="J21" s="26"/>
      <c r="K21" s="31"/>
      <c r="L21"/>
      <c r="M21"/>
      <c r="N21"/>
      <c r="O21"/>
      <c r="P21"/>
      <c r="Q21"/>
      <c r="R21"/>
      <c r="S21"/>
    </row>
    <row r="22" spans="1:19" x14ac:dyDescent="0.25">
      <c r="A22" s="5">
        <f t="shared" si="0"/>
        <v>21</v>
      </c>
      <c r="B22" s="22">
        <v>16</v>
      </c>
      <c r="C22" s="21">
        <v>44</v>
      </c>
      <c r="F22" s="21">
        <v>30</v>
      </c>
      <c r="G22" s="9"/>
      <c r="H22" s="10"/>
      <c r="I22" s="25"/>
      <c r="J22" s="26"/>
      <c r="K22" s="31"/>
      <c r="L22"/>
      <c r="M22"/>
      <c r="N22"/>
      <c r="O22"/>
      <c r="P22"/>
      <c r="Q22"/>
      <c r="R22"/>
      <c r="S22"/>
    </row>
    <row r="23" spans="1:19" x14ac:dyDescent="0.25">
      <c r="A23" s="5">
        <f t="shared" si="0"/>
        <v>22</v>
      </c>
      <c r="B23" s="22">
        <v>16</v>
      </c>
      <c r="C23" s="21">
        <v>53</v>
      </c>
      <c r="F23" s="21">
        <v>24</v>
      </c>
      <c r="G23" s="9"/>
      <c r="H23" s="10"/>
      <c r="I23" s="25"/>
      <c r="J23" s="26"/>
      <c r="K23" s="31"/>
      <c r="L23"/>
      <c r="M23"/>
      <c r="N23"/>
      <c r="O23"/>
      <c r="P23"/>
      <c r="Q23"/>
      <c r="R23"/>
      <c r="S23"/>
    </row>
    <row r="24" spans="1:19" x14ac:dyDescent="0.25">
      <c r="A24" s="5">
        <f t="shared" si="0"/>
        <v>23</v>
      </c>
      <c r="B24" s="22">
        <v>11</v>
      </c>
      <c r="C24" s="21">
        <v>61</v>
      </c>
      <c r="F24" s="21">
        <v>24</v>
      </c>
      <c r="G24" s="9"/>
      <c r="H24" s="10"/>
      <c r="I24" s="25"/>
      <c r="J24" s="26"/>
      <c r="K24" s="31"/>
      <c r="L24"/>
      <c r="M24"/>
      <c r="N24"/>
      <c r="O24"/>
      <c r="P24"/>
      <c r="Q24"/>
      <c r="R24"/>
      <c r="S24"/>
    </row>
    <row r="25" spans="1:19" x14ac:dyDescent="0.25">
      <c r="A25" s="5">
        <f t="shared" si="0"/>
        <v>24</v>
      </c>
      <c r="B25" s="22">
        <v>11</v>
      </c>
      <c r="C25" s="21">
        <v>59</v>
      </c>
      <c r="F25" s="21">
        <v>30</v>
      </c>
      <c r="G25" s="9"/>
      <c r="H25" s="10"/>
      <c r="I25" s="25"/>
      <c r="J25" s="26"/>
      <c r="K25" s="31"/>
      <c r="L25"/>
      <c r="M25"/>
      <c r="N25"/>
      <c r="O25"/>
      <c r="P25"/>
      <c r="Q25"/>
      <c r="R25"/>
      <c r="S25"/>
    </row>
    <row r="26" spans="1:19" x14ac:dyDescent="0.25">
      <c r="A26" s="5">
        <f t="shared" si="0"/>
        <v>25</v>
      </c>
      <c r="B26" s="22">
        <v>16</v>
      </c>
      <c r="C26" s="21">
        <v>40</v>
      </c>
      <c r="F26" s="21">
        <v>30</v>
      </c>
      <c r="G26" s="9"/>
      <c r="H26" s="10"/>
      <c r="I26" s="25"/>
      <c r="J26" s="26"/>
      <c r="K26" s="31"/>
      <c r="L26"/>
      <c r="M26"/>
      <c r="N26"/>
      <c r="O26"/>
      <c r="P26"/>
      <c r="Q26"/>
      <c r="R26"/>
      <c r="S26"/>
    </row>
    <row r="27" spans="1:19" x14ac:dyDescent="0.25">
      <c r="A27" s="5">
        <f t="shared" si="0"/>
        <v>26</v>
      </c>
      <c r="B27" s="22">
        <v>7</v>
      </c>
      <c r="C27" s="21">
        <v>48</v>
      </c>
      <c r="F27" s="21">
        <v>24</v>
      </c>
      <c r="G27" s="9"/>
      <c r="H27" s="10"/>
      <c r="I27" s="25"/>
      <c r="J27" s="26"/>
      <c r="K27" s="32"/>
      <c r="L27" s="29"/>
      <c r="M27"/>
      <c r="N27"/>
      <c r="O27"/>
      <c r="P27"/>
      <c r="Q27"/>
      <c r="R27"/>
      <c r="S27"/>
    </row>
    <row r="28" spans="1:19" x14ac:dyDescent="0.25">
      <c r="A28" s="5">
        <f t="shared" si="0"/>
        <v>27</v>
      </c>
      <c r="B28" s="22">
        <v>12</v>
      </c>
      <c r="C28" s="21">
        <v>36</v>
      </c>
      <c r="F28" s="21">
        <v>18</v>
      </c>
      <c r="G28" s="9"/>
      <c r="H28" s="10"/>
      <c r="I28" s="25"/>
      <c r="J28" s="26"/>
      <c r="K28" s="31"/>
      <c r="L28"/>
      <c r="M28"/>
      <c r="N28"/>
      <c r="O28"/>
      <c r="P28"/>
      <c r="Q28"/>
      <c r="R28"/>
      <c r="S28"/>
    </row>
    <row r="29" spans="1:19" x14ac:dyDescent="0.25">
      <c r="A29" s="5">
        <f t="shared" si="0"/>
        <v>28</v>
      </c>
      <c r="B29" s="22">
        <v>15</v>
      </c>
      <c r="C29" s="21">
        <v>43</v>
      </c>
      <c r="F29" s="21">
        <v>12</v>
      </c>
      <c r="G29" s="9"/>
      <c r="H29" s="10"/>
      <c r="I29" s="25"/>
      <c r="J29" s="26"/>
      <c r="K29" s="31"/>
      <c r="L29"/>
      <c r="M29"/>
      <c r="N29"/>
      <c r="O29"/>
      <c r="P29"/>
      <c r="Q29"/>
      <c r="R29"/>
      <c r="S29"/>
    </row>
    <row r="30" spans="1:19" x14ac:dyDescent="0.25">
      <c r="A30" s="5">
        <f t="shared" si="0"/>
        <v>29</v>
      </c>
      <c r="B30" s="22">
        <v>8</v>
      </c>
      <c r="C30" s="21">
        <v>42</v>
      </c>
      <c r="F30" s="21">
        <v>18</v>
      </c>
      <c r="G30" s="9"/>
      <c r="H30" s="10"/>
      <c r="I30" s="25"/>
      <c r="J30" s="26"/>
      <c r="K30" s="31"/>
      <c r="L30"/>
      <c r="M30"/>
      <c r="N30"/>
      <c r="O30"/>
      <c r="P30"/>
      <c r="Q30"/>
      <c r="R30"/>
      <c r="S30"/>
    </row>
    <row r="31" spans="1:19" x14ac:dyDescent="0.25">
      <c r="A31" s="5">
        <f t="shared" si="0"/>
        <v>30</v>
      </c>
      <c r="B31" s="22">
        <v>19</v>
      </c>
      <c r="C31" s="21">
        <v>47</v>
      </c>
      <c r="F31" s="21">
        <v>18</v>
      </c>
      <c r="G31" s="9"/>
      <c r="H31" s="10"/>
      <c r="I31" s="25"/>
      <c r="J31" s="26"/>
      <c r="K31" s="31"/>
      <c r="L31"/>
      <c r="M31"/>
      <c r="N31"/>
      <c r="O31"/>
      <c r="P31"/>
      <c r="Q31"/>
      <c r="R31"/>
      <c r="S31"/>
    </row>
    <row r="32" spans="1:19" x14ac:dyDescent="0.25">
      <c r="A32" s="5">
        <f t="shared" si="0"/>
        <v>31</v>
      </c>
      <c r="B32" s="22">
        <v>12</v>
      </c>
      <c r="C32" s="21">
        <v>51</v>
      </c>
      <c r="F32" s="21">
        <v>12</v>
      </c>
      <c r="G32" s="9"/>
      <c r="H32" s="10"/>
      <c r="I32" s="25"/>
      <c r="J32" s="26"/>
      <c r="K32" s="31"/>
      <c r="L32"/>
      <c r="M32"/>
      <c r="N32"/>
      <c r="O32"/>
      <c r="P32"/>
      <c r="Q32"/>
      <c r="R32"/>
      <c r="S32"/>
    </row>
    <row r="33" spans="1:19" x14ac:dyDescent="0.25">
      <c r="A33" s="5">
        <f t="shared" si="0"/>
        <v>32</v>
      </c>
      <c r="B33" s="22">
        <v>11</v>
      </c>
      <c r="C33" s="21">
        <v>49</v>
      </c>
      <c r="F33" s="21">
        <v>18</v>
      </c>
      <c r="G33" s="9"/>
      <c r="H33" s="10"/>
      <c r="I33" s="25"/>
      <c r="J33" s="26"/>
      <c r="K33" s="31"/>
      <c r="L33"/>
      <c r="M33"/>
      <c r="N33"/>
      <c r="O33"/>
      <c r="P33"/>
      <c r="Q33"/>
      <c r="R33"/>
      <c r="S33"/>
    </row>
    <row r="34" spans="1:19" x14ac:dyDescent="0.25">
      <c r="A34" s="5">
        <f t="shared" si="0"/>
        <v>33</v>
      </c>
      <c r="B34" s="22">
        <v>9</v>
      </c>
      <c r="C34" s="21">
        <v>42</v>
      </c>
      <c r="F34" s="21">
        <v>30</v>
      </c>
      <c r="G34" s="9"/>
      <c r="H34" s="10"/>
      <c r="I34" s="25"/>
      <c r="J34" s="26"/>
      <c r="K34" s="31"/>
      <c r="L34"/>
      <c r="M34"/>
      <c r="N34"/>
      <c r="O34"/>
      <c r="P34"/>
      <c r="Q34"/>
      <c r="R34"/>
      <c r="S34"/>
    </row>
    <row r="35" spans="1:19" x14ac:dyDescent="0.25">
      <c r="A35" s="5">
        <f t="shared" si="0"/>
        <v>34</v>
      </c>
      <c r="B35" s="22">
        <v>18</v>
      </c>
      <c r="C35" s="21">
        <v>60</v>
      </c>
      <c r="F35" s="21">
        <v>30</v>
      </c>
      <c r="G35" s="9"/>
      <c r="H35" s="10"/>
      <c r="I35" s="25"/>
      <c r="J35" s="26"/>
      <c r="K35" s="31"/>
      <c r="L35"/>
      <c r="M35"/>
      <c r="N35"/>
      <c r="O35"/>
      <c r="P35"/>
      <c r="Q35"/>
      <c r="R35"/>
      <c r="S35"/>
    </row>
    <row r="36" spans="1:19" x14ac:dyDescent="0.25">
      <c r="A36" s="5">
        <f t="shared" si="0"/>
        <v>35</v>
      </c>
      <c r="B36" s="22">
        <v>11</v>
      </c>
      <c r="C36" s="21">
        <v>36</v>
      </c>
      <c r="F36" s="21">
        <v>30</v>
      </c>
      <c r="G36" s="9"/>
      <c r="H36" s="10"/>
      <c r="I36" s="25"/>
      <c r="J36" s="26"/>
      <c r="K36" s="31"/>
      <c r="L36"/>
      <c r="M36"/>
      <c r="N36"/>
      <c r="O36"/>
      <c r="P36"/>
      <c r="Q36"/>
      <c r="R36"/>
      <c r="S36"/>
    </row>
    <row r="37" spans="1:19" x14ac:dyDescent="0.25">
      <c r="A37" s="5">
        <f t="shared" si="0"/>
        <v>36</v>
      </c>
      <c r="B37" s="22">
        <v>7</v>
      </c>
      <c r="C37" s="21">
        <v>45</v>
      </c>
      <c r="F37" s="21">
        <v>30</v>
      </c>
      <c r="G37" s="9"/>
      <c r="H37" s="10"/>
      <c r="I37" s="25"/>
      <c r="J37" s="26"/>
      <c r="K37" s="31"/>
      <c r="L37"/>
      <c r="M37"/>
      <c r="N37"/>
      <c r="O37"/>
      <c r="P37"/>
      <c r="Q37"/>
      <c r="R37"/>
      <c r="S37"/>
    </row>
    <row r="38" spans="1:19" x14ac:dyDescent="0.25">
      <c r="A38" s="5">
        <f t="shared" si="0"/>
        <v>37</v>
      </c>
      <c r="B38" s="22">
        <v>19</v>
      </c>
      <c r="C38" s="21">
        <v>56</v>
      </c>
      <c r="F38" s="21">
        <v>24</v>
      </c>
      <c r="G38" s="9"/>
      <c r="H38" s="10"/>
      <c r="I38" s="25"/>
      <c r="J38" s="26"/>
      <c r="K38" s="31"/>
      <c r="L38"/>
      <c r="M38"/>
      <c r="N38"/>
      <c r="O38"/>
      <c r="P38"/>
      <c r="Q38"/>
      <c r="R38"/>
      <c r="S38"/>
    </row>
    <row r="39" spans="1:19" x14ac:dyDescent="0.25">
      <c r="A39" s="5">
        <f t="shared" si="0"/>
        <v>38</v>
      </c>
      <c r="B39" s="22">
        <v>21</v>
      </c>
      <c r="C39" s="21">
        <v>58</v>
      </c>
      <c r="F39" s="21">
        <v>30</v>
      </c>
      <c r="G39" s="9"/>
      <c r="H39" s="10"/>
      <c r="I39" s="25"/>
      <c r="J39" s="26"/>
      <c r="K39" s="31"/>
      <c r="L39"/>
      <c r="M39"/>
      <c r="N39"/>
      <c r="O39"/>
      <c r="P39"/>
      <c r="Q39"/>
      <c r="R39"/>
      <c r="S39"/>
    </row>
    <row r="40" spans="1:19" x14ac:dyDescent="0.25">
      <c r="A40" s="5">
        <f t="shared" si="0"/>
        <v>39</v>
      </c>
      <c r="B40" s="22">
        <v>12</v>
      </c>
      <c r="C40" s="21">
        <v>43</v>
      </c>
      <c r="F40" s="21">
        <v>24</v>
      </c>
      <c r="G40" s="9"/>
      <c r="H40" s="10"/>
      <c r="I40" s="25"/>
      <c r="J40" s="26"/>
      <c r="K40" s="31"/>
      <c r="L40"/>
      <c r="M40"/>
      <c r="N40"/>
      <c r="O40"/>
      <c r="P40"/>
      <c r="Q40"/>
      <c r="R40"/>
      <c r="S40"/>
    </row>
    <row r="41" spans="1:19" x14ac:dyDescent="0.25">
      <c r="A41" s="5">
        <f t="shared" si="0"/>
        <v>40</v>
      </c>
      <c r="B41" s="22">
        <v>8</v>
      </c>
      <c r="C41" s="21">
        <v>32</v>
      </c>
      <c r="F41" s="21">
        <v>30</v>
      </c>
      <c r="G41" s="9"/>
      <c r="H41" s="10"/>
      <c r="I41" s="25"/>
      <c r="J41" s="26"/>
      <c r="K41" s="31"/>
      <c r="L41"/>
      <c r="M41"/>
      <c r="N41"/>
      <c r="O41"/>
      <c r="P41"/>
      <c r="Q41"/>
      <c r="R41"/>
      <c r="S41"/>
    </row>
    <row r="42" spans="1:19" x14ac:dyDescent="0.25">
      <c r="A42" s="5">
        <f t="shared" si="0"/>
        <v>41</v>
      </c>
      <c r="B42" s="22">
        <v>15</v>
      </c>
      <c r="C42" s="21">
        <v>52</v>
      </c>
      <c r="F42" s="21">
        <v>24</v>
      </c>
      <c r="G42" s="9"/>
      <c r="H42" s="10"/>
      <c r="I42" s="25"/>
      <c r="J42" s="26"/>
      <c r="K42" s="31"/>
      <c r="L42"/>
      <c r="M42"/>
      <c r="N42"/>
      <c r="O42"/>
      <c r="P42"/>
      <c r="Q42"/>
      <c r="R42"/>
      <c r="S42"/>
    </row>
    <row r="43" spans="1:19" x14ac:dyDescent="0.25">
      <c r="A43" s="5">
        <f t="shared" si="0"/>
        <v>42</v>
      </c>
      <c r="B43" s="22">
        <v>14</v>
      </c>
      <c r="C43" s="21">
        <v>45</v>
      </c>
      <c r="F43" s="21">
        <v>30</v>
      </c>
      <c r="G43" s="9"/>
      <c r="H43" s="10"/>
      <c r="I43" s="25"/>
      <c r="J43" s="26"/>
      <c r="K43" s="31"/>
      <c r="L43"/>
      <c r="M43"/>
      <c r="N43"/>
      <c r="O43"/>
      <c r="P43"/>
      <c r="Q43"/>
      <c r="R43"/>
      <c r="S43"/>
    </row>
    <row r="44" spans="1:19" x14ac:dyDescent="0.25">
      <c r="A44" s="5">
        <f t="shared" si="0"/>
        <v>43</v>
      </c>
      <c r="B44" s="22">
        <v>10</v>
      </c>
      <c r="C44" s="21">
        <v>36</v>
      </c>
      <c r="F44" s="21">
        <v>30</v>
      </c>
      <c r="G44" s="9"/>
      <c r="H44" s="10"/>
      <c r="I44" s="25"/>
      <c r="J44" s="26"/>
      <c r="K44" s="31"/>
      <c r="L44"/>
      <c r="M44"/>
      <c r="N44"/>
      <c r="O44"/>
      <c r="P44"/>
      <c r="Q44"/>
      <c r="R44"/>
      <c r="S44"/>
    </row>
    <row r="45" spans="1:19" x14ac:dyDescent="0.25">
      <c r="A45" s="5">
        <f t="shared" si="0"/>
        <v>44</v>
      </c>
      <c r="B45" s="22">
        <v>11</v>
      </c>
      <c r="C45" s="21">
        <v>46</v>
      </c>
      <c r="F45" s="21">
        <v>30</v>
      </c>
      <c r="G45" s="9"/>
      <c r="H45" s="10"/>
      <c r="I45" s="25"/>
      <c r="J45" s="26"/>
      <c r="K45" s="31"/>
      <c r="L45"/>
      <c r="M45"/>
      <c r="N45"/>
      <c r="O45"/>
      <c r="P45"/>
      <c r="Q45"/>
      <c r="R45"/>
      <c r="S45"/>
    </row>
    <row r="46" spans="1:19" x14ac:dyDescent="0.25">
      <c r="A46" s="5">
        <f t="shared" si="0"/>
        <v>45</v>
      </c>
      <c r="B46" s="22">
        <v>16</v>
      </c>
      <c r="C46" s="21">
        <v>41</v>
      </c>
      <c r="F46" s="21">
        <v>24</v>
      </c>
      <c r="G46" s="9"/>
      <c r="H46" s="10"/>
      <c r="I46" s="25"/>
      <c r="J46" s="26"/>
      <c r="K46" s="31"/>
      <c r="L46"/>
      <c r="M46"/>
      <c r="N46"/>
      <c r="O46"/>
      <c r="P46"/>
      <c r="Q46"/>
      <c r="R46"/>
      <c r="S46"/>
    </row>
    <row r="47" spans="1:19" x14ac:dyDescent="0.25">
      <c r="A47" s="5">
        <f t="shared" si="0"/>
        <v>46</v>
      </c>
      <c r="B47" s="22">
        <v>13</v>
      </c>
      <c r="C47" s="21">
        <v>52</v>
      </c>
      <c r="F47" s="21">
        <v>30</v>
      </c>
      <c r="G47" s="9"/>
      <c r="H47" s="10"/>
      <c r="I47" s="25"/>
      <c r="J47" s="26"/>
      <c r="K47" s="31"/>
      <c r="L47"/>
      <c r="M47"/>
      <c r="N47"/>
      <c r="O47"/>
      <c r="P47"/>
      <c r="Q47"/>
      <c r="R47"/>
      <c r="S47"/>
    </row>
    <row r="48" spans="1:19" x14ac:dyDescent="0.25">
      <c r="A48" s="5">
        <f t="shared" si="0"/>
        <v>47</v>
      </c>
      <c r="B48" s="22">
        <v>15</v>
      </c>
      <c r="C48" s="21">
        <v>40</v>
      </c>
      <c r="F48" s="21">
        <v>30</v>
      </c>
      <c r="G48" s="9"/>
      <c r="H48" s="10"/>
      <c r="I48" s="25"/>
      <c r="J48" s="26"/>
      <c r="K48" s="31"/>
      <c r="L48"/>
      <c r="M48"/>
      <c r="N48"/>
      <c r="O48"/>
      <c r="P48"/>
      <c r="Q48"/>
      <c r="R48"/>
      <c r="S48"/>
    </row>
    <row r="49" spans="1:19" x14ac:dyDescent="0.25">
      <c r="A49" s="5">
        <f t="shared" si="0"/>
        <v>48</v>
      </c>
      <c r="B49" s="22">
        <v>15</v>
      </c>
      <c r="C49" s="21">
        <v>56</v>
      </c>
      <c r="F49" s="21">
        <v>24</v>
      </c>
      <c r="G49" s="9"/>
      <c r="H49" s="10"/>
      <c r="I49" s="25"/>
      <c r="J49" s="26"/>
      <c r="K49" s="31"/>
      <c r="L49"/>
      <c r="M49"/>
      <c r="N49"/>
      <c r="O49"/>
      <c r="P49"/>
      <c r="Q49"/>
      <c r="R49"/>
      <c r="S49"/>
    </row>
    <row r="50" spans="1:19" x14ac:dyDescent="0.25">
      <c r="A50" s="5">
        <f t="shared" si="0"/>
        <v>49</v>
      </c>
      <c r="B50" s="22">
        <v>9</v>
      </c>
      <c r="C50" s="21">
        <v>35</v>
      </c>
      <c r="F50" s="21">
        <v>18</v>
      </c>
      <c r="G50" s="9"/>
      <c r="H50" s="10"/>
      <c r="I50" s="25"/>
      <c r="J50" s="26"/>
      <c r="K50" s="31"/>
      <c r="L50"/>
      <c r="M50"/>
      <c r="N50"/>
      <c r="O50"/>
      <c r="P50"/>
      <c r="Q50"/>
      <c r="R50"/>
      <c r="S50"/>
    </row>
    <row r="51" spans="1:19" x14ac:dyDescent="0.25">
      <c r="A51" s="5">
        <f t="shared" si="0"/>
        <v>50</v>
      </c>
      <c r="B51" s="22">
        <v>15</v>
      </c>
      <c r="C51" s="21">
        <v>52</v>
      </c>
      <c r="F51" s="21">
        <v>12</v>
      </c>
      <c r="G51" s="9"/>
      <c r="H51" s="10"/>
      <c r="I51" s="25"/>
      <c r="J51" s="26"/>
      <c r="K51" s="31"/>
      <c r="L51"/>
      <c r="M51"/>
      <c r="N51"/>
      <c r="O51"/>
      <c r="P51"/>
      <c r="Q51"/>
      <c r="R51"/>
      <c r="S51"/>
    </row>
    <row r="52" spans="1:19" x14ac:dyDescent="0.25">
      <c r="A52" s="5">
        <f t="shared" si="0"/>
        <v>51</v>
      </c>
      <c r="B52" s="22">
        <v>17</v>
      </c>
      <c r="C52" s="21">
        <v>38</v>
      </c>
      <c r="F52" s="21">
        <v>18</v>
      </c>
      <c r="G52" s="9"/>
      <c r="H52" s="10"/>
      <c r="I52" s="25"/>
      <c r="J52" s="26"/>
      <c r="K52" s="31"/>
      <c r="L52"/>
      <c r="M52"/>
      <c r="N52"/>
      <c r="O52"/>
      <c r="P52"/>
      <c r="Q52"/>
      <c r="R52"/>
      <c r="S52"/>
    </row>
    <row r="53" spans="1:19" ht="15.75" thickBot="1" x14ac:dyDescent="0.3">
      <c r="A53" s="5">
        <f>A52+1</f>
        <v>52</v>
      </c>
      <c r="B53" s="22">
        <v>11</v>
      </c>
      <c r="C53" s="21">
        <v>30</v>
      </c>
      <c r="F53" s="21">
        <v>12</v>
      </c>
      <c r="G53" s="11"/>
      <c r="H53" s="12"/>
      <c r="I53" s="27"/>
      <c r="J53" s="28"/>
      <c r="K53" s="33"/>
      <c r="L53"/>
      <c r="M53"/>
      <c r="N53"/>
      <c r="O53"/>
      <c r="P53"/>
      <c r="Q53"/>
      <c r="R53"/>
      <c r="S53"/>
    </row>
    <row r="54" spans="1:19" x14ac:dyDescent="0.25">
      <c r="B54" s="18"/>
      <c r="C54" s="18"/>
      <c r="D54" s="19"/>
      <c r="E54" s="19"/>
      <c r="F54" s="19"/>
    </row>
    <row r="55" spans="1:19" x14ac:dyDescent="0.25">
      <c r="B55" s="18"/>
      <c r="C55" s="18"/>
    </row>
  </sheetData>
  <pageMargins left="0.7" right="0.7" top="0.75" bottom="0.75" header="0.3" footer="0.3"/>
  <pageSetup paperSize="9" scale="53" orientation="portrait" horizontalDpi="1200" verticalDpi="1200"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2A6E5D76F57046AE04482D981A6C5B" ma:contentTypeVersion="13" ma:contentTypeDescription="Create a new document." ma:contentTypeScope="" ma:versionID="49ebe2259e56fd9d18e8d6f0a33733af">
  <xsd:schema xmlns:xsd="http://www.w3.org/2001/XMLSchema" xmlns:xs="http://www.w3.org/2001/XMLSchema" xmlns:p="http://schemas.microsoft.com/office/2006/metadata/properties" xmlns:ns3="f65fba26-ec4d-4737-8981-2465d28de716" xmlns:ns4="0d9489ea-1809-4c07-ad6e-8c53781fb825" targetNamespace="http://schemas.microsoft.com/office/2006/metadata/properties" ma:root="true" ma:fieldsID="ad0f2fa0f747b97451fddaadd4e71d78" ns3:_="" ns4:_="">
    <xsd:import namespace="f65fba26-ec4d-4737-8981-2465d28de716"/>
    <xsd:import namespace="0d9489ea-1809-4c07-ad6e-8c53781fb82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5fba26-ec4d-4737-8981-2465d28de7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d9489ea-1809-4c07-ad6e-8c53781fb825"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506F694-2667-4197-B9FD-C34329FE6B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5fba26-ec4d-4737-8981-2465d28de716"/>
    <ds:schemaRef ds:uri="0d9489ea-1809-4c07-ad6e-8c53781fb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7A5DA32-6D5A-48D4-80F9-97C2D2D66798}">
  <ds:schemaRefs>
    <ds:schemaRef ds:uri="http://schemas.microsoft.com/sharepoint/v3/contenttype/forms"/>
  </ds:schemaRefs>
</ds:datastoreItem>
</file>

<file path=customXml/itemProps3.xml><?xml version="1.0" encoding="utf-8"?>
<ds:datastoreItem xmlns:ds="http://schemas.openxmlformats.org/officeDocument/2006/customXml" ds:itemID="{57279970-323A-44F9-AB2B-CE6BBFEE39DE}">
  <ds:schemaRef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f65fba26-ec4d-4737-8981-2465d28de716"/>
    <ds:schemaRef ds:uri="http://purl.org/dc/terms/"/>
    <ds:schemaRef ds:uri="http://schemas.openxmlformats.org/package/2006/metadata/core-properties"/>
    <ds:schemaRef ds:uri="0d9489ea-1809-4c07-ad6e-8c53781fb82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Case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dc:creator>
  <cp:lastModifiedBy>Faersheed Hesaraki</cp:lastModifiedBy>
  <cp:lastPrinted>2015-03-18T20:03:19Z</cp:lastPrinted>
  <dcterms:created xsi:type="dcterms:W3CDTF">2013-03-04T09:03:05Z</dcterms:created>
  <dcterms:modified xsi:type="dcterms:W3CDTF">2021-03-23T17:55:13Z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0x0101001C2A6E5D76F57046AE04482D981A6C5B</vt:lpwstr>
  </property>
</Properties>
</file>